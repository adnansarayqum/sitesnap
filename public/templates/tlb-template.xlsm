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ink/ink1.xml" ContentType="application/inkml+xml"/>
  <Override PartName="/xl/drawings/drawing6.xml" ContentType="application/vnd.openxmlformats-officedocument.drawing+xml"/>
  <Override PartName="/xl/ink/ink2.xml" ContentType="application/inkml+xml"/>
  <Override PartName="/xl/drawings/drawing7.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72c4078f25731d94/Documents/Stonebridge/Templates/Adnan/"/>
    </mc:Choice>
  </mc:AlternateContent>
  <xr:revisionPtr revIDLastSave="5" documentId="8_{063BCB9A-061E-445D-BBFA-AF26A81764DC}" xr6:coauthVersionLast="47" xr6:coauthVersionMax="47" xr10:uidLastSave="{64B383E1-54CE-4553-986E-C8666997223B}"/>
  <bookViews>
    <workbookView xWindow="28680" yWindow="-45" windowWidth="29040" windowHeight="15720" tabRatio="904" firstSheet="4" activeTab="4" xr2:uid="{DA5BA99B-60C0-448C-BF02-5D95B950ACB8}"/>
  </bookViews>
  <sheets>
    <sheet name="DATA ENTRY 2" sheetId="15" state="hidden" r:id="rId1"/>
    <sheet name="Photo Folders" sheetId="23" state="hidden" r:id="rId2"/>
    <sheet name="DATA ENTRY" sheetId="12" state="hidden" r:id="rId3"/>
    <sheet name="cond formatg" sheetId="22" state="hidden" r:id="rId4"/>
    <sheet name="Cover" sheetId="1" r:id="rId5"/>
    <sheet name="SOURCE" sheetId="24" state="hidden" r:id="rId6"/>
    <sheet name="Contents" sheetId="2" r:id="rId7"/>
    <sheet name="1.0 INTRO" sheetId="3" r:id="rId8"/>
    <sheet name="MergeSize" sheetId="16" state="hidden" r:id="rId9"/>
    <sheet name="2.0 FINDINGS AND RECOMM" sheetId="5" r:id="rId10"/>
    <sheet name="3.0 CONCLUSIONS" sheetId="7" r:id="rId11"/>
    <sheet name="4.0 EXPERT DECLARATION" sheetId="8" r:id="rId12"/>
    <sheet name="FORMAT" sheetId="13" state="hidden" r:id="rId13"/>
    <sheet name="APPENDIX 1 SCOTT SCHEDULE" sheetId="9" r:id="rId14"/>
    <sheet name="JOINT SCOTT SCHEDULE (T)" sheetId="21" state="hidden" r:id="rId15"/>
    <sheet name="APPENDIX 2 - PHOTOGRAPH SCHEDUL" sheetId="11" r:id="rId16"/>
    <sheet name="APPENDIX 3 - HHSRS" sheetId="14" r:id="rId17"/>
    <sheet name="SOR Development" sheetId="10" state="hidden" r:id="rId18"/>
  </sheets>
  <definedNames>
    <definedName name="_xlnm._FilterDatabase" localSheetId="1" hidden="1">'Photo Folders'!$H$15:$H$38</definedName>
    <definedName name="_Toc216824965" localSheetId="7">'1.0 INTRO'!#REF!</definedName>
    <definedName name="_Toc216824965" localSheetId="9">'2.0 FINDINGS AND RECOMM'!$A$3</definedName>
    <definedName name="_Toc216824965" localSheetId="10">'3.0 CONCLUSIONS'!#REF!</definedName>
    <definedName name="_Toc216824965" localSheetId="11">'4.0 EXPERT DECLARATION'!#REF!</definedName>
    <definedName name="_Toc216824965" localSheetId="15">'APPENDIX 2 - PHOTOGRAPH SCHEDUL'!#REF!</definedName>
    <definedName name="_Toc216824965" localSheetId="16">'APPENDIX 3 - HHSRS'!#REF!</definedName>
    <definedName name="_xleta.AND" hidden="1" xlm="1">#NAME?</definedName>
    <definedName name="_xleta.SUM" hidden="1" xlm="1">#NAME?</definedName>
    <definedName name="_xlnm.Print_Area" localSheetId="7">'1.0 INTRO'!$A$1:$H$228</definedName>
    <definedName name="_xlnm.Print_Area" localSheetId="9">'2.0 FINDINGS AND RECOMM'!$A$1:$H$53</definedName>
    <definedName name="_xlnm.Print_Area" localSheetId="10">'3.0 CONCLUSIONS'!$A$1:$H$25</definedName>
    <definedName name="_xlnm.Print_Area" localSheetId="11">'4.0 EXPERT DECLARATION'!$A$1:$H$80</definedName>
    <definedName name="_xlnm.Print_Area" localSheetId="13">'APPENDIX 1 SCOTT SCHEDULE'!$A$1:$G$29</definedName>
    <definedName name="_xlnm.Print_Area" localSheetId="15">'APPENDIX 2 - PHOTOGRAPH SCHEDUL'!$A$1:$I$392</definedName>
    <definedName name="_xlnm.Print_Area" localSheetId="16">'APPENDIX 3 - HHSRS'!$A$1:$D$34</definedName>
    <definedName name="_xlnm.Print_Area" localSheetId="6">Contents!$A$1:$H$36</definedName>
    <definedName name="_xlnm.Print_Area" localSheetId="4">Cover!$A$1:$H$38</definedName>
    <definedName name="_xlnm.Print_Area" localSheetId="12">FORMAT!$A$1:$G$30</definedName>
    <definedName name="_xlnm.Print_Area" localSheetId="14">'JOINT SCOTT SCHEDULE (T)'!$A$1:$G$63</definedName>
    <definedName name="_xlnm.Print_Titles" localSheetId="12">FORMAT!$1:$5</definedName>
    <definedName name="_xlnm.Print_Titles" localSheetId="14">'JOINT SCOTT SCHEDULE (T)'!#REF!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7" i="1" l="1"/>
  <c r="E29" i="9"/>
  <c r="E28" i="9"/>
  <c r="E27" i="9"/>
  <c r="E20" i="9"/>
  <c r="E19" i="9"/>
  <c r="E18" i="9"/>
  <c r="A5" i="9"/>
  <c r="G16" i="12"/>
  <c r="G4" i="12"/>
  <c r="J2" i="5"/>
  <c r="C8" i="15"/>
  <c r="C7" i="15"/>
  <c r="L6" i="1"/>
  <c r="C18" i="15" l="1"/>
  <c r="L26" i="12" l="1"/>
  <c r="L20" i="12"/>
  <c r="L14" i="12"/>
  <c r="L8" i="12"/>
  <c r="C14" i="12"/>
  <c r="C8" i="12"/>
  <c r="L8" i="1" l="1"/>
  <c r="M8" i="1" s="1"/>
  <c r="G41" i="1" l="1"/>
  <c r="K41" i="1"/>
  <c r="C41" i="1"/>
  <c r="D14" i="7"/>
  <c r="C38" i="1"/>
  <c r="E98" i="3"/>
  <c r="E97" i="3"/>
  <c r="F44" i="3"/>
  <c r="F42" i="3"/>
  <c r="J1" i="5"/>
  <c r="J3" i="5" s="1"/>
  <c r="D11" i="7" s="1"/>
  <c r="C2" i="12" l="1"/>
  <c r="D102" i="3" l="1"/>
  <c r="D94" i="3"/>
  <c r="D91" i="3"/>
  <c r="D88" i="3"/>
  <c r="B63" i="21" l="1"/>
  <c r="B55" i="21"/>
  <c r="A16" i="1"/>
  <c r="A2" i="13"/>
  <c r="D17" i="7"/>
  <c r="D34" i="3"/>
  <c r="D32" i="3"/>
  <c r="D30" i="3"/>
  <c r="D28" i="3"/>
  <c r="D26" i="3"/>
  <c r="D38" i="3"/>
  <c r="D36" i="3"/>
  <c r="A27" i="1"/>
  <c r="A23" i="1"/>
  <c r="C36" i="1"/>
  <c r="D71" i="8" s="1"/>
  <c r="C34" i="1"/>
  <c r="B53"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tc={5474BC1E-AA7C-4928-A79D-79F1FDF7CA98}</author>
  </authors>
  <commentList>
    <comment ref="C18" authorId="0" shapeId="0" xr:uid="{5474BC1E-AA7C-4928-A79D-79F1FDF7CA98}">
      <text>
        <t xml:space="preserve">[Threaded comment]
Your version of Excel allows you to read this threaded comment; however, any edits to it will get removed if the file is opened in a newer version of Excel. Learn more: https://go.microsoft.com/fwlink/?linkid=870924
Comment:
    DO CHECK THAT ADDITIONAL CLAIM ITEMS ARE NOT PICKED UP
</t>
      </text>
    </comment>
  </commentList>
</comments>
</file>

<file path=xl/sharedStrings.xml><?xml version="1.0" encoding="utf-8"?>
<sst xmlns="http://schemas.openxmlformats.org/spreadsheetml/2006/main" count="717" uniqueCount="451">
  <si>
    <t>TO THE COURT</t>
  </si>
  <si>
    <t>EXPERT WITNESS REPORT</t>
  </si>
  <si>
    <t>HOUSING DISREPAIR</t>
  </si>
  <si>
    <t>Between</t>
  </si>
  <si>
    <t>and</t>
  </si>
  <si>
    <t>Prepared by:</t>
  </si>
  <si>
    <t>Inspection Date:</t>
  </si>
  <si>
    <t>Report Dated:</t>
  </si>
  <si>
    <t>Contents</t>
  </si>
  <si>
    <t>1.0</t>
  </si>
  <si>
    <t>2.0</t>
  </si>
  <si>
    <t>3.0</t>
  </si>
  <si>
    <t>4.0</t>
  </si>
  <si>
    <t>1.0 INTRODUCTION</t>
  </si>
  <si>
    <t>The Author</t>
  </si>
  <si>
    <t>:</t>
  </si>
  <si>
    <t>Instructed by</t>
  </si>
  <si>
    <t>Report Type</t>
  </si>
  <si>
    <t>Case Reference(s)</t>
  </si>
  <si>
    <t>Property Address</t>
  </si>
  <si>
    <t>1.1     INSTRUCTIONS</t>
  </si>
  <si>
    <t>Claimant Name</t>
  </si>
  <si>
    <t>Defendant Name</t>
  </si>
  <si>
    <t>Report Subject</t>
  </si>
  <si>
    <t>Housing Disrepair</t>
  </si>
  <si>
    <t>Documents relied upon</t>
  </si>
  <si>
    <t>INSPECTION AND REPORT DETAILS</t>
  </si>
  <si>
    <t>Date of Inspection</t>
  </si>
  <si>
    <t>Weather Conditions</t>
  </si>
  <si>
    <t>Temperature (°C)</t>
  </si>
  <si>
    <t>Property Description</t>
  </si>
  <si>
    <t>Limitations</t>
  </si>
  <si>
    <t>Moisture Meter</t>
  </si>
  <si>
    <t>Other Equipment Used</t>
  </si>
  <si>
    <t>Costings</t>
  </si>
  <si>
    <t>Photographs</t>
  </si>
  <si>
    <r>
      <t>2.0</t>
    </r>
    <r>
      <rPr>
        <b/>
        <sz val="7"/>
        <color theme="1"/>
        <rFont val="Times New Roman"/>
        <family val="1"/>
      </rPr>
      <t xml:space="preserve">  </t>
    </r>
    <r>
      <rPr>
        <b/>
        <sz val="18"/>
        <color theme="1"/>
        <rFont val="Arial"/>
        <family val="2"/>
      </rPr>
      <t>FINDINGS AND RECOMMENDATIONS</t>
    </r>
  </si>
  <si>
    <t>The report has been prepared in accordance with the instructions. My findings and recommendations are set out below:</t>
  </si>
  <si>
    <t>Findings:</t>
  </si>
  <si>
    <t>Causation:</t>
  </si>
  <si>
    <t>Remedial Works:</t>
  </si>
  <si>
    <t>3.0 CONCLUSION</t>
  </si>
  <si>
    <t>3.1 Summary of Conclusions</t>
  </si>
  <si>
    <t>The items for which causation has been established above are considered to be in breach of the Landlord’s statutory repairing obligations under Section 9A, Section 10 and Section 11 of the Landlord and Tenant Act 1985. In addition, these items constitute hazards under the Housing Health and Safety Rating System (HHSRS) as set out in the Housing Act 2004. These breaches relate to the failure to maintain the dwelling in a condition that is free from hazards and reasonably suitable for occupation, as required by law. A detailed breakdown of each specific breach and the relevant statutory provisions can be found in the accompanying Scott Schedule.
It is, however, a matter for the Court to determine whether these circumstances amount to a breach of the landlord’s legal obligations under the above legislation.</t>
  </si>
  <si>
    <t>See Appendix 1 – Scott Schedule</t>
  </si>
  <si>
    <r>
      <t>3.2</t>
    </r>
    <r>
      <rPr>
        <b/>
        <sz val="7"/>
        <color theme="1"/>
        <rFont val="Arial"/>
        <family val="2"/>
      </rPr>
      <t xml:space="preserve">   </t>
    </r>
    <r>
      <rPr>
        <b/>
        <sz val="11"/>
        <color theme="1"/>
        <rFont val="Arial"/>
        <family val="2"/>
      </rPr>
      <t xml:space="preserve">Assessment of LOC Items </t>
    </r>
    <r>
      <rPr>
        <sz val="11"/>
        <color theme="1"/>
        <rFont val="Arial"/>
        <family val="2"/>
      </rPr>
      <t>:</t>
    </r>
  </si>
  <si>
    <r>
      <t>3.3</t>
    </r>
    <r>
      <rPr>
        <b/>
        <sz val="7"/>
        <color theme="1"/>
        <rFont val="Arial"/>
        <family val="2"/>
      </rPr>
      <t xml:space="preserve">  </t>
    </r>
    <r>
      <rPr>
        <b/>
        <sz val="11"/>
        <color theme="1"/>
        <rFont val="Arial"/>
        <family val="2"/>
      </rPr>
      <t>Total value of works</t>
    </r>
  </si>
  <si>
    <r>
      <t>3.4</t>
    </r>
    <r>
      <rPr>
        <b/>
        <sz val="7"/>
        <color theme="1"/>
        <rFont val="Arial"/>
        <family val="2"/>
      </rPr>
      <t xml:space="preserve">   </t>
    </r>
    <r>
      <rPr>
        <b/>
        <sz val="11"/>
        <color theme="1"/>
        <rFont val="Arial"/>
        <family val="2"/>
      </rPr>
      <t>Time to complete works</t>
    </r>
  </si>
  <si>
    <r>
      <t>3.5</t>
    </r>
    <r>
      <rPr>
        <b/>
        <sz val="7"/>
        <color theme="1"/>
        <rFont val="Arial"/>
        <family val="2"/>
      </rPr>
      <t xml:space="preserve">  </t>
    </r>
    <r>
      <rPr>
        <b/>
        <sz val="11"/>
        <color theme="1"/>
        <rFont val="Arial"/>
        <family val="2"/>
      </rPr>
      <t>Decanting required</t>
    </r>
  </si>
  <si>
    <r>
      <t>3.6</t>
    </r>
    <r>
      <rPr>
        <b/>
        <sz val="7"/>
        <color theme="1"/>
        <rFont val="Arial"/>
        <family val="2"/>
      </rPr>
      <t xml:space="preserve">   </t>
    </r>
    <r>
      <rPr>
        <b/>
        <sz val="11"/>
        <color theme="1"/>
        <rFont val="Arial"/>
        <family val="2"/>
      </rPr>
      <t xml:space="preserve">Prospective life of property </t>
    </r>
    <r>
      <rPr>
        <sz val="11"/>
        <color theme="1"/>
        <rFont val="Arial"/>
        <family val="2"/>
      </rPr>
      <t>:</t>
    </r>
  </si>
  <si>
    <t>4.0 EXPERT DECLARATION</t>
  </si>
  <si>
    <r>
      <t>1.</t>
    </r>
    <r>
      <rPr>
        <sz val="7"/>
        <color theme="1"/>
        <rFont val="Times New Roman"/>
        <family val="1"/>
      </rPr>
      <t xml:space="preserve">    </t>
    </r>
    <r>
      <rPr>
        <sz val="11"/>
        <color theme="1"/>
        <rFont val="Arial"/>
        <family val="2"/>
      </rPr>
      <t>I understand that my duty in providing written reports and giving evidence is to help the Court, and that this duty overrides any obligation to the party by whom I am engaged or the person who has paid or is liable to pay me. I confirm that I have complied and will continue to comply with my duty.</t>
    </r>
  </si>
  <si>
    <r>
      <t>2.</t>
    </r>
    <r>
      <rPr>
        <sz val="7"/>
        <color theme="1"/>
        <rFont val="Times New Roman"/>
        <family val="1"/>
      </rPr>
      <t xml:space="preserve">    </t>
    </r>
    <r>
      <rPr>
        <sz val="11"/>
        <color theme="1"/>
        <rFont val="Arial"/>
        <family val="2"/>
      </rPr>
      <t>I confirm that I have not entered into any arrangement where the amount or payment of my fees is in any way dependent on the outcome of the case.</t>
    </r>
  </si>
  <si>
    <r>
      <t>3.</t>
    </r>
    <r>
      <rPr>
        <sz val="7"/>
        <color theme="1"/>
        <rFont val="Times New Roman"/>
        <family val="1"/>
      </rPr>
      <t xml:space="preserve">    </t>
    </r>
    <r>
      <rPr>
        <sz val="11"/>
        <color theme="1"/>
        <rFont val="Arial"/>
        <family val="2"/>
      </rPr>
      <t>I know of no conflict of interest of any kind, other than any which I have disclosed in my report.</t>
    </r>
  </si>
  <si>
    <r>
      <t>4.</t>
    </r>
    <r>
      <rPr>
        <sz val="7"/>
        <color theme="1"/>
        <rFont val="Times New Roman"/>
        <family val="1"/>
      </rPr>
      <t xml:space="preserve">    </t>
    </r>
    <r>
      <rPr>
        <sz val="11"/>
        <color theme="1"/>
        <rFont val="Arial"/>
        <family val="2"/>
      </rPr>
      <t>I do not consider that any interest which I have disclosed affects my suitability as an expert witness on any issues on which I have given evidence.</t>
    </r>
  </si>
  <si>
    <r>
      <t>5.</t>
    </r>
    <r>
      <rPr>
        <sz val="7"/>
        <color theme="1"/>
        <rFont val="Times New Roman"/>
        <family val="1"/>
      </rPr>
      <t xml:space="preserve">    </t>
    </r>
    <r>
      <rPr>
        <sz val="11"/>
        <color theme="1"/>
        <rFont val="Arial"/>
        <family val="2"/>
      </rPr>
      <t>I will advise the party by whom I am instructed if, between the date of my report and the trial, there is any change in circumstances which affect my answers to points 3 and 4 above.</t>
    </r>
  </si>
  <si>
    <r>
      <t>6.</t>
    </r>
    <r>
      <rPr>
        <sz val="7"/>
        <color theme="1"/>
        <rFont val="Times New Roman"/>
        <family val="1"/>
      </rPr>
      <t xml:space="preserve">    </t>
    </r>
    <r>
      <rPr>
        <sz val="11"/>
        <color theme="1"/>
        <rFont val="Arial"/>
        <family val="2"/>
      </rPr>
      <t>I have shown the sources of all information I have used.</t>
    </r>
  </si>
  <si>
    <r>
      <t>7.</t>
    </r>
    <r>
      <rPr>
        <sz val="7"/>
        <color theme="1"/>
        <rFont val="Times New Roman"/>
        <family val="1"/>
      </rPr>
      <t xml:space="preserve">    </t>
    </r>
    <r>
      <rPr>
        <sz val="11"/>
        <color theme="1"/>
        <rFont val="Arial"/>
        <family val="2"/>
      </rPr>
      <t>I have exercised reasonable care and skill in order to be accurate and complete in preparing this report.</t>
    </r>
  </si>
  <si>
    <r>
      <t>8.</t>
    </r>
    <r>
      <rPr>
        <sz val="7"/>
        <color theme="1"/>
        <rFont val="Times New Roman"/>
        <family val="1"/>
      </rPr>
      <t xml:space="preserve">    </t>
    </r>
    <r>
      <rPr>
        <sz val="11"/>
        <color theme="1"/>
        <rFont val="Arial"/>
        <family val="2"/>
      </rPr>
      <t>I have endeavoured to include in my report those matters, of which I have knowledge or of which I have been made aware, that might adversely affect the validity of my opinion. I have clearly stated any qualifications to my opinion.</t>
    </r>
  </si>
  <si>
    <r>
      <t>9.</t>
    </r>
    <r>
      <rPr>
        <sz val="7"/>
        <color theme="1"/>
        <rFont val="Times New Roman"/>
        <family val="1"/>
      </rPr>
      <t xml:space="preserve">    </t>
    </r>
    <r>
      <rPr>
        <sz val="11"/>
        <color theme="1"/>
        <rFont val="Arial"/>
        <family val="2"/>
      </rPr>
      <t>I have not, without forming an independent view, included or excluded anything which has been suggested to me by others, including my instructing lawyers.</t>
    </r>
  </si>
  <si>
    <r>
      <t>10.</t>
    </r>
    <r>
      <rPr>
        <sz val="7"/>
        <color theme="1"/>
        <rFont val="Times New Roman"/>
        <family val="1"/>
      </rPr>
      <t xml:space="preserve">    </t>
    </r>
    <r>
      <rPr>
        <sz val="11"/>
        <color theme="1"/>
        <rFont val="Arial"/>
        <family val="2"/>
      </rPr>
      <t>I will notify those instructing me immediately and confirm in writing if, for any reason, my existing report requires any correction or qualification.</t>
    </r>
  </si>
  <si>
    <r>
      <t>11.</t>
    </r>
    <r>
      <rPr>
        <sz val="7"/>
        <color theme="1"/>
        <rFont val="Times New Roman"/>
        <family val="1"/>
      </rPr>
      <t xml:space="preserve">    </t>
    </r>
    <r>
      <rPr>
        <sz val="11"/>
        <color theme="1"/>
        <rFont val="Arial"/>
        <family val="2"/>
      </rPr>
      <t>I understand that; my report will form the evidence to be given under oath or affirmation:</t>
    </r>
  </si>
  <si>
    <r>
      <t>2.</t>
    </r>
    <r>
      <rPr>
        <sz val="7"/>
        <color theme="1"/>
        <rFont val="Times New Roman"/>
        <family val="1"/>
      </rPr>
      <t xml:space="preserve">    </t>
    </r>
    <r>
      <rPr>
        <sz val="11"/>
        <color theme="1"/>
        <rFont val="Arial"/>
        <family val="2"/>
      </rPr>
      <t>the court may at any stage direct a discussion to take place between experts for the purpose of identifying and discussing the expert issues in the proceedings, where possible reaching an agreed opinion on those issues and identifying what action, if any, may be taken to resolve any of the outstanding issues between the parties;</t>
    </r>
  </si>
  <si>
    <r>
      <t>4.</t>
    </r>
    <r>
      <rPr>
        <sz val="7"/>
        <color theme="1"/>
        <rFont val="Times New Roman"/>
        <family val="1"/>
      </rPr>
      <t xml:space="preserve">    </t>
    </r>
    <r>
      <rPr>
        <sz val="11"/>
        <color theme="1"/>
        <rFont val="Arial"/>
        <family val="2"/>
      </rPr>
      <t>I may be required to attend court to be cross-examined on my report by a cross-examiner assisted by an expert.</t>
    </r>
  </si>
  <si>
    <r>
      <t>5.</t>
    </r>
    <r>
      <rPr>
        <sz val="7"/>
        <color theme="1"/>
        <rFont val="Times New Roman"/>
        <family val="1"/>
      </rPr>
      <t xml:space="preserve">    </t>
    </r>
    <r>
      <rPr>
        <sz val="11"/>
        <color theme="1"/>
        <rFont val="Arial"/>
        <family val="2"/>
      </rPr>
      <t>I am likely to be the subject of public adverse criticism by the judge if the Court concludes that I have not taken reasonable care in trying to meet the standards set out above.</t>
    </r>
  </si>
  <si>
    <r>
      <t>12.</t>
    </r>
    <r>
      <rPr>
        <sz val="7"/>
        <color theme="1"/>
        <rFont val="Times New Roman"/>
        <family val="1"/>
      </rPr>
      <t xml:space="preserve">    </t>
    </r>
    <r>
      <rPr>
        <sz val="11"/>
        <color theme="1"/>
        <rFont val="Arial"/>
        <family val="2"/>
      </rPr>
      <t xml:space="preserve">I have read </t>
    </r>
    <r>
      <rPr>
        <u/>
        <sz val="11"/>
        <color theme="1"/>
        <rFont val="Arial"/>
        <family val="2"/>
      </rPr>
      <t>Part 35 of the Civil Procedure Rules</t>
    </r>
    <r>
      <rPr>
        <sz val="11"/>
        <color theme="1"/>
        <rFont val="Arial"/>
        <family val="2"/>
      </rPr>
      <t>, the accompanying practice direction and the Guidance for the instruction of experts in civil claims and I have complied with their requirements.</t>
    </r>
  </si>
  <si>
    <r>
      <t>13.</t>
    </r>
    <r>
      <rPr>
        <sz val="7"/>
        <color theme="1"/>
        <rFont val="Times New Roman"/>
        <family val="1"/>
      </rPr>
      <t xml:space="preserve">    </t>
    </r>
    <r>
      <rPr>
        <sz val="11"/>
        <color theme="1"/>
        <rFont val="Arial"/>
        <family val="2"/>
      </rPr>
      <t>I am aware of the practice direction on pre-action conduct. I have acted in accordance with the Code of Practice for Experts and the code of conduct for experts of my discipline, namely surveyors acting as expert witnesses.</t>
    </r>
  </si>
  <si>
    <t>I confirm that I have made clear which facts and matters referred to in this report are within my own knowledge and which are not. Those that are within my own knowledge I confirm to be true. The opinions I have expressed represent my true and complete professional opinions on the matters to which they refer.</t>
  </si>
  <si>
    <t>I understand that proceedings for contempt of court may be brought against anyone who makes, or causes to be made, a false statement in a document verified by a statement of truth without an honest belief in its truth.</t>
  </si>
  <si>
    <r>
      <t>4.2</t>
    </r>
    <r>
      <rPr>
        <b/>
        <sz val="7"/>
        <color theme="1"/>
        <rFont val="Times New Roman"/>
        <family val="1"/>
      </rPr>
      <t xml:space="preserve">       </t>
    </r>
    <r>
      <rPr>
        <b/>
        <sz val="11"/>
        <color theme="1"/>
        <rFont val="Arial"/>
        <family val="2"/>
      </rPr>
      <t>Statement of Truth:</t>
    </r>
  </si>
  <si>
    <r>
      <t>3.</t>
    </r>
    <r>
      <rPr>
        <sz val="7"/>
        <color theme="1"/>
        <rFont val="Times New Roman"/>
        <family val="1"/>
      </rPr>
      <t xml:space="preserve">    </t>
    </r>
    <r>
      <rPr>
        <sz val="11"/>
        <color theme="1"/>
        <rFont val="Arial"/>
        <family val="2"/>
      </rPr>
      <t>the court may direct that following a discussion between the experts that a statement should be prepared showing those issues which are agreed, and those issues which are not agreed, together with a summary of the reasons for disagreeing.</t>
    </r>
  </si>
  <si>
    <r>
      <t>1.</t>
    </r>
    <r>
      <rPr>
        <sz val="11"/>
        <color theme="1"/>
        <rFont val="Times New Roman"/>
        <family val="1"/>
      </rPr>
      <t xml:space="preserve">    </t>
    </r>
    <r>
      <rPr>
        <sz val="11"/>
        <color theme="1"/>
        <rFont val="Arial"/>
        <family val="2"/>
      </rPr>
      <t>questions may be put to me in writing for the purposes of clarifying my report and that my answers shall be treated as part of my report and covered by my statement of truth.</t>
    </r>
  </si>
  <si>
    <t>Dated:</t>
  </si>
  <si>
    <t>APPENDIX 1 - SCOTT SCHEDULE</t>
  </si>
  <si>
    <t>Location</t>
  </si>
  <si>
    <t>Details of Disrepair</t>
  </si>
  <si>
    <t>Breach</t>
  </si>
  <si>
    <t>Remedial Works Required</t>
  </si>
  <si>
    <t>Assessment of Costs</t>
  </si>
  <si>
    <t>sor</t>
  </si>
  <si>
    <t>20+ years, if well maintained</t>
  </si>
  <si>
    <t>APPENDIX 2 - PHOTOGRAPH SCHEDULE</t>
  </si>
  <si>
    <t>ITEM 1:</t>
  </si>
  <si>
    <t>Work</t>
  </si>
  <si>
    <t>Price</t>
  </si>
  <si>
    <t>ITEM 2:</t>
  </si>
  <si>
    <t>ITEM 3:</t>
  </si>
  <si>
    <t>2.1    ITEM 1:</t>
  </si>
  <si>
    <t>2.2    ITEM 2:</t>
  </si>
  <si>
    <t>2.3    ITEM 3:</t>
  </si>
  <si>
    <t>Shahriar Ibn Hussain MRICS MCIOB BSc (Hons)</t>
  </si>
  <si>
    <t>E:
info@stonebridgesurveyors.co.uk</t>
  </si>
  <si>
    <t>Signed:</t>
  </si>
  <si>
    <t>(excluding VAT and any additional claim items)</t>
  </si>
  <si>
    <t>Hazard</t>
  </si>
  <si>
    <t>Asbestos and MMF</t>
  </si>
  <si>
    <t>Lead</t>
  </si>
  <si>
    <t>Radiation</t>
  </si>
  <si>
    <t>Noise</t>
  </si>
  <si>
    <t>INTRODUCTION….................................................................................................................</t>
  </si>
  <si>
    <t>FINDINGS AND RECOMMENDATIONS….............................................................................</t>
  </si>
  <si>
    <t>CONCLUSIONS…..............................................................................................................</t>
  </si>
  <si>
    <t>EXPERT DECLARATION….................................................................................................</t>
  </si>
  <si>
    <t>APPENDIX 1 - SCOTT SCHEDULE…..........................................................................................................................................</t>
  </si>
  <si>
    <t>APPENDIX 2 - PHOTOGRAPH SCHEDULE….....................................................................................................</t>
  </si>
  <si>
    <t>APPENDIX 3 - HHSRS: THE 29 HAZARDS….........................................................................................</t>
  </si>
  <si>
    <t>Subtotal</t>
  </si>
  <si>
    <t>VAT</t>
  </si>
  <si>
    <t>Total</t>
  </si>
  <si>
    <t>Claimant name</t>
  </si>
  <si>
    <t>Case reference</t>
  </si>
  <si>
    <t>Property address</t>
  </si>
  <si>
    <t>Weather conditions</t>
  </si>
  <si>
    <t>Time to complete works</t>
  </si>
  <si>
    <t>Decanting</t>
  </si>
  <si>
    <t>Defendant name</t>
  </si>
  <si>
    <t>Inspection date</t>
  </si>
  <si>
    <t>Report dated</t>
  </si>
  <si>
    <t>Temperature</t>
  </si>
  <si>
    <t>LOC</t>
  </si>
  <si>
    <t>EXP I</t>
  </si>
  <si>
    <t>Letter of Claim Items</t>
  </si>
  <si>
    <t>Total value of works EXCL ADD'NL ITEMS</t>
  </si>
  <si>
    <t>Address</t>
  </si>
  <si>
    <t>Landlord Surveyor Name</t>
  </si>
  <si>
    <t>LOI</t>
  </si>
  <si>
    <t>Item</t>
  </si>
  <si>
    <t>Where to find</t>
  </si>
  <si>
    <t>Property Description including Rooms</t>
  </si>
  <si>
    <t>Some additional requests:</t>
  </si>
  <si>
    <t>A)    This file I have sent you, is not the file I sent you previously. As discussed, the file I sent you previously included the subtotal in the scott schedule but the guy did it wrong. Are you able to please amend his scott schedule macro ON THIS FILE so that I have one subtotal box at the bottom of the page. It should be Arial, Size 10, and text put in centre. And VAT should be 20%. See screenshot below:</t>
  </si>
  <si>
    <t>Value</t>
  </si>
  <si>
    <t>A</t>
  </si>
  <si>
    <t>B</t>
  </si>
  <si>
    <t>C</t>
  </si>
  <si>
    <t>D</t>
  </si>
  <si>
    <t>E</t>
  </si>
  <si>
    <t>F</t>
  </si>
  <si>
    <t>G</t>
  </si>
  <si>
    <t>Causation</t>
  </si>
  <si>
    <t>Cost</t>
  </si>
  <si>
    <t>AI TO</t>
  </si>
  <si>
    <t>Room/Area</t>
  </si>
  <si>
    <t>Issue of Concern</t>
  </si>
  <si>
    <t>Site Findings</t>
  </si>
  <si>
    <t>Remedial Works</t>
  </si>
  <si>
    <t>Defend't Comments</t>
  </si>
  <si>
    <t>Defend't Estimate</t>
  </si>
  <si>
    <t>4.1   I DECLARE THAT:</t>
  </si>
  <si>
    <t>Property:</t>
  </si>
  <si>
    <t>Claimant::</t>
  </si>
  <si>
    <t>Name:</t>
  </si>
  <si>
    <t>Landlord Surveyor Signed:</t>
  </si>
  <si>
    <t>Landlord Surveyor Name:</t>
  </si>
  <si>
    <t>Bathroom</t>
  </si>
  <si>
    <t>I undertook a visual inspection, with no intrusive or destructive inspection carried out unless expressly stated in this report. Only those elements that were reasonably accessible and unobstructed at the time of inspection were viewed. Components that were concealed, covered, unexposed, or otherwise inaccessible could not be inspected, and any conclusions or recommendations are based on recognised structural and surveying principles applied to the evidence available.
This report is based on the information and evidence provided and the inspection of the property carried out. While I am qualified and experienced in the field of surveying and housing disrepair, I cannot determine whether the landlord has breached their duty under certain legislation, as this is a legal question that requires consideration of other factors, such as reasonable notice and access, that may be outside of my remit of expertise. I can only give an opinion on the condition of the property, the nature and extent of the disrepair, the cause and effect of the disrepair, and the remedial works required to rectify the disrepair. I can also indicate whether the disrepair may amount to a breach of the landlord’s repairing obligations under any relevant legislation, such as the Landlord and Tenant Act 1985, the Homes (Fitness for Human Habitation) Act 2018, and any relevant lease clause, but this is not a conclusive or definitive statement on liability.</t>
  </si>
  <si>
    <t>Moisture and environmental readings were obtained using a Protimeter MMS2 moisture measurement system.</t>
  </si>
  <si>
    <t>The MMS2 is a multi-function instrument capable of non-invasive moisture assessment using a relative reference scale (70–999) for comparative measurement of materials, resistance pin measurement providing Wood Moisture Equivalent (WME) readings expressed as a percentage, and environmental monitoring including relative humidity (RH%), air temperature, surface temperature and dew point calculation.</t>
  </si>
  <si>
    <t>In search mode, readings are displayed on a relative reference scale, typically interpreted as: Dry (70–169), At Risk (170–199) and Wet (200–999). These readings are comparative and do not represent percentage moisture content.</t>
  </si>
  <si>
    <t>In pin mode, readings are expressed as Wood Moisture Equivalent (WME), typically interpreted as: Dry (up to 16.9%), At Risk (17%–19.9%) and Wet (20% and above).</t>
  </si>
  <si>
    <t>The instrument was utilised as considered appropriate during the course of the inspection.</t>
  </si>
  <si>
    <t>The author undertook all inspection and photographic works save where expressly stated otherwise.</t>
  </si>
  <si>
    <t>Anemometer TS-301</t>
  </si>
  <si>
    <t>Hikmicro E01 Thermal Imaging Camera</t>
  </si>
  <si>
    <t>The cost given in Appendix 1 are calculated using my own experience of similar schemes or works and where appropriate market data available. The costs are not based on detailed specifications or a Bill of Quantities and are exclusive of any professional fees. Actual costs may vary due to future variations to items of work found to be necessary during more detailed and/ or destructive investigations. It is assumed that the work will be carried out as a single contract by a local ‘jobbing builder’.</t>
  </si>
  <si>
    <t>Photographs provided in Appendix 2 were taken by me unless stated and should be referred to when reading this report.</t>
  </si>
  <si>
    <t>either</t>
  </si>
  <si>
    <t>slate tiles</t>
  </si>
  <si>
    <t>clay/concrete tiles</t>
  </si>
  <si>
    <t>S11 LTA</t>
  </si>
  <si>
    <t>N/A</t>
  </si>
  <si>
    <t>Single Inspection</t>
  </si>
  <si>
    <t>S9A S10 S11 LTA – Cat 2, Risk Hazard 1</t>
  </si>
  <si>
    <t>1.0 INTRO</t>
  </si>
  <si>
    <t>2.0 FINDINGS AND RECOMM</t>
  </si>
  <si>
    <t>3.0 CONCLUSIONS</t>
  </si>
  <si>
    <t>APPENDIX 1 SCOTT SCHEDULE</t>
  </si>
  <si>
    <t>APPENDIX 2 - PHOTOGRAPH SCHEDUL</t>
  </si>
  <si>
    <t>APPENDIX 3 - HHSRS</t>
  </si>
  <si>
    <t>HELPER COLUMN FOR MACRO [DO NOT DELETE]</t>
  </si>
  <si>
    <t>a</t>
  </si>
  <si>
    <t>Instructing Agency:</t>
  </si>
  <si>
    <t>Condition of Property</t>
  </si>
  <si>
    <t>Internally:</t>
  </si>
  <si>
    <t>Externally:</t>
  </si>
  <si>
    <t>Condition Internally</t>
  </si>
  <si>
    <t>Condition Externally</t>
  </si>
  <si>
    <t>Instructing Agent</t>
  </si>
  <si>
    <t>Hallway</t>
  </si>
  <si>
    <t>ITEM 4:</t>
  </si>
  <si>
    <t>Kitchen</t>
  </si>
  <si>
    <t>Living Room</t>
  </si>
  <si>
    <t>Bedroom 1</t>
  </si>
  <si>
    <t>SOURCE</t>
  </si>
  <si>
    <t>Additional Claim Item</t>
  </si>
  <si>
    <t>Bedroom 2</t>
  </si>
  <si>
    <t>Bedroom 3</t>
  </si>
  <si>
    <t>Bedroom 4</t>
  </si>
  <si>
    <t>Exterior</t>
  </si>
  <si>
    <t>Front Door</t>
  </si>
  <si>
    <t xml:space="preserve">Other </t>
  </si>
  <si>
    <t>Other (Exterior)</t>
  </si>
  <si>
    <t>Utility Room</t>
  </si>
  <si>
    <t>WC</t>
  </si>
  <si>
    <t>Windows</t>
  </si>
  <si>
    <t>Property</t>
  </si>
  <si>
    <t>Whole Property</t>
  </si>
  <si>
    <t>Landlords workmen</t>
  </si>
  <si>
    <t>Wording</t>
  </si>
  <si>
    <t>Desc 1</t>
  </si>
  <si>
    <t>Findings</t>
  </si>
  <si>
    <t>Remedials</t>
  </si>
  <si>
    <t>Cracking</t>
  </si>
  <si>
    <t>Cracking was observed to ceiling and wall junctions and around the perimeter of the window.</t>
  </si>
  <si>
    <t>On the balance of probabilities the cracking is attributable to thermal movement between adjoining building materials. Differential expansion and contraction results in stress at junctions, causing finishes to pull away and crack along weak points such as perimeter joints.</t>
  </si>
  <si>
    <t>The affected areas should be raked out to remove loose material. Cracks should be filled using suitable flexible filler. The surfaces should then be sanded, primed and redecorated to reinstate finishes.</t>
  </si>
  <si>
    <t>Extractor</t>
  </si>
  <si>
    <t>The extractor fan should be renewed to ensure effective mechanical ventilation. Installation, testing and certification should be carried out by a suitably qualified electrician in accordance with NICEIC requirements and BS 7671.</t>
  </si>
  <si>
    <t>Isolated hairline cracking was observed to the ceiling.</t>
  </si>
  <si>
    <t>On the balance of probabilities the cracking is attributable to thermal movement within building materials. Temperature fluctuations result in expansion and contraction, leading to minor cracking at ceiling junctions and finishes.</t>
  </si>
  <si>
    <t>The affected areas should be raked out to remove loose material. Cracks should be filled using suitable filler. The surface should then be sanded, prepared and redecorated to reinstate finishes.</t>
  </si>
  <si>
    <t>ITEM 5:</t>
  </si>
  <si>
    <t>TLB Services</t>
  </si>
  <si>
    <t>External</t>
  </si>
  <si>
    <t>Poor</t>
  </si>
  <si>
    <t>Defective blown glazed units should be renewed with new sealed double-glazed units of matching specification</t>
  </si>
  <si>
    <t>Blown glazing</t>
  </si>
  <si>
    <t>Blown glazing was observed to the window unit, evidenced by moisture within the glazed cavity between the panes.</t>
  </si>
  <si>
    <t>On the balance of probabilities, the defect has resulted from failure of the hermetic perimeter seal to the double-glazed unit, permitting moisture ingress into the glazed cavity and resulting in condensation between the panes.</t>
  </si>
  <si>
    <t>Separate Toilet</t>
  </si>
  <si>
    <t>TLB Reports</t>
  </si>
  <si>
    <t>Front Door Area</t>
  </si>
  <si>
    <t>The property is a self-contained flat arranged over one level. The subject property is located within a purpose-built dwelling of solid brick construction. The building consists of a pitched roof with clay/concrete tiles. The approximate age of the building is circa 1920s.
The property comprises 1 x Living Room, 1 x Kitchen, 1 x Bathroom, 1 x Separate WC, 1 x Hallway and 3 x Bedrooms.</t>
  </si>
  <si>
    <t>The property is a self-contained flat arranged over one level. The subject property is located within a purpose-built dwelling of solid brick construction. The building consists of a flat roof with felt/asphalt roof coverings. The approximate age of the building is circa 1920s.
The property comprises 1 x Living Room, 1 x Kitchen, 1 x Bathroom, 1 x Separate WC, 1 x Hallway and 3 x Bedrooms.</t>
  </si>
  <si>
    <t>Pitched:</t>
  </si>
  <si>
    <t>Flat:</t>
  </si>
  <si>
    <t>Toilet</t>
  </si>
  <si>
    <t>Defective Boiler</t>
  </si>
  <si>
    <t>Degraded Wooden Frames</t>
  </si>
  <si>
    <t>Infestation</t>
  </si>
  <si>
    <t>Thermal improvement works should be undertaken to the affected external wall junctions including installation of insulated thermal lining where appropriate to reduce cold bridging</t>
  </si>
  <si>
    <t>Dining Room</t>
  </si>
  <si>
    <t>Bedroom</t>
  </si>
  <si>
    <t>Silverfish Infestation</t>
  </si>
  <si>
    <t>Toilet/Drainage</t>
  </si>
  <si>
    <t>Electrical Installations</t>
  </si>
  <si>
    <t>flat roof with felt/asphalt roof coverings</t>
  </si>
  <si>
    <t>pitched roof with clay/concrete interlocking tiles</t>
  </si>
  <si>
    <t>The building consists of flat roof arrangement comprising extensive areas of biodiverse/green roof coverings together with solarvoltaic panels.</t>
  </si>
  <si>
    <t>Attic</t>
  </si>
  <si>
    <t>Back Door</t>
  </si>
  <si>
    <t>Balcony</t>
  </si>
  <si>
    <t>Bathroom (Upstairs)</t>
  </si>
  <si>
    <t>Bathroom 1</t>
  </si>
  <si>
    <t>Bathroom 2</t>
  </si>
  <si>
    <t>Bathroom 3</t>
  </si>
  <si>
    <t>Bedrooms</t>
  </si>
  <si>
    <t>Boiler</t>
  </si>
  <si>
    <t>Boiler/Heating</t>
  </si>
  <si>
    <t>Doors &amp; Windows (Throughout)</t>
  </si>
  <si>
    <t>Downstairs Bathroom</t>
  </si>
  <si>
    <t>Downstairs Toilet</t>
  </si>
  <si>
    <t>Electrics</t>
  </si>
  <si>
    <t xml:space="preserve">External Areas </t>
  </si>
  <si>
    <t>Garden</t>
  </si>
  <si>
    <t>Heating</t>
  </si>
  <si>
    <t>Landing/Stairs</t>
  </si>
  <si>
    <t>Separate WC</t>
  </si>
  <si>
    <t>Upstairs Bathroom</t>
  </si>
  <si>
    <t>Upstairs Hallway</t>
  </si>
  <si>
    <t>Wet Room</t>
  </si>
  <si>
    <t>CHECKLIST</t>
  </si>
  <si>
    <t>- CORRECT DATES</t>
  </si>
  <si>
    <t>- CORRECT TYPE OF INSPECTION</t>
  </si>
  <si>
    <t>- CORRECT LANDLORD</t>
  </si>
  <si>
    <t>- CORRECT CLAIMANT</t>
  </si>
  <si>
    <t>- CORRECT DEFENDANT</t>
  </si>
  <si>
    <t>- ANY OTHER DOCS RELIED UPON?</t>
  </si>
  <si>
    <t>- IF SINGLE JOINT INSPECTION MAKE SURE THE LANDLORD ALSO LISTED UNDER THE INSTRUCTED BY</t>
  </si>
  <si>
    <t>- HAVE YOU DEDUCTED ADDITIONAL CLAIM ITEMS???</t>
  </si>
  <si>
    <t>- HAVE YOU ADDED NEW SECTION FOR ADDITIONAL CLAIM ITEMS???</t>
  </si>
  <si>
    <t>- DATA ENTRY TAB COSTS VS FINDINGS AND RECOM/CONCLUSION?????????????????</t>
  </si>
  <si>
    <t>London Borough of Hackney</t>
  </si>
  <si>
    <t>SOURCE FOR CELL C8!!</t>
  </si>
  <si>
    <t>London Borough of Barking and Dagenham</t>
  </si>
  <si>
    <t>London Borough of Barnet</t>
  </si>
  <si>
    <t>London Borough of Brent</t>
  </si>
  <si>
    <t>London Borough of Camden</t>
  </si>
  <si>
    <t>London Borough of Croydon</t>
  </si>
  <si>
    <t>London Borough of Ealing</t>
  </si>
  <si>
    <t>London Borough of Enfield</t>
  </si>
  <si>
    <t>London Borough of Greenwich</t>
  </si>
  <si>
    <t>London Borough of Hammersmith and Fulham</t>
  </si>
  <si>
    <t>London Borough of Haringey</t>
  </si>
  <si>
    <t>London Borough of Harrow</t>
  </si>
  <si>
    <t>London Borough of Havering</t>
  </si>
  <si>
    <t>London Borough of Hillingdon</t>
  </si>
  <si>
    <t>London Borough of Hounslow</t>
  </si>
  <si>
    <t>London Borough of Islington</t>
  </si>
  <si>
    <t>Royal Borough of Kensington and Chelsea</t>
  </si>
  <si>
    <t>London Borough of Lambeth</t>
  </si>
  <si>
    <t>London Borough of Lewisham</t>
  </si>
  <si>
    <t>London Borough of Newham</t>
  </si>
  <si>
    <t>London Borough of Redbridge</t>
  </si>
  <si>
    <t>London Borough of Southwark</t>
  </si>
  <si>
    <t>London Borough of Tower Hamlets</t>
  </si>
  <si>
    <t>London Borough of Waltham Forest</t>
  </si>
  <si>
    <t>London Borough of Wandsworth</t>
  </si>
  <si>
    <t>City of Westminster</t>
  </si>
  <si>
    <t>Clarion Housing Association Limited</t>
  </si>
  <si>
    <t>L&amp;Q (London &amp; Quadrant Housing Trust)</t>
  </si>
  <si>
    <t>Peabody Trust</t>
  </si>
  <si>
    <t>Notting Hill Genesis</t>
  </si>
  <si>
    <t>Southern Housing</t>
  </si>
  <si>
    <t>Metropolitan Thames Valley Housing</t>
  </si>
  <si>
    <t>Hyde Housing Association Limited</t>
  </si>
  <si>
    <t>A2Dominion Housing Group</t>
  </si>
  <si>
    <t>Sanctuary Housing Association</t>
  </si>
  <si>
    <t>Network Homes Limited</t>
  </si>
  <si>
    <t>One Housing Group Limited</t>
  </si>
  <si>
    <t>Poplar HARCA</t>
  </si>
  <si>
    <t>Gateway Housing Association</t>
  </si>
  <si>
    <t>EastendHomes</t>
  </si>
  <si>
    <t>Providence Row Housing Association</t>
  </si>
  <si>
    <t>Spitalfields Housing Association</t>
  </si>
  <si>
    <t>Clarion Housing</t>
  </si>
  <si>
    <t>London &amp; Quadrant Housing Group</t>
  </si>
  <si>
    <t>Home Group Limited</t>
  </si>
  <si>
    <t>CHECK:</t>
  </si>
  <si>
    <t>DATA ENTRY:</t>
  </si>
  <si>
    <t>SCOTT SCHEDULE</t>
  </si>
  <si>
    <t>DIFFERENCE:</t>
  </si>
  <si>
    <t>Westminster City Council</t>
  </si>
  <si>
    <t>Shahriar Ibn Hussain MRICS, MCIOB, MEWI, BSc (Hons)</t>
  </si>
  <si>
    <t>4.1   I, SHAHRIAR IBN HUSSAIN MRICS MCIOB MEWI BSc (Hons), DECLARE THAT:</t>
  </si>
  <si>
    <t>Shahriar Ibn Hussain MRICS MCIOB MEWI BSc (Hons)</t>
  </si>
  <si>
    <t>APPENDIX 3 - HHSRS: THE 21 HAZARDS</t>
  </si>
  <si>
    <t>Protection against accidents</t>
  </si>
  <si>
    <t>Fractures, pelvic fractures, head and intracranial injuries, cuts and lacerations, reduced mobility, hypothermia following prolonged immobilisation, depression and death.</t>
  </si>
  <si>
    <t>Potential Health Effects</t>
  </si>
  <si>
    <t>Falls on the Level</t>
  </si>
  <si>
    <t>Falling on Stairs etc.</t>
  </si>
  <si>
    <t>Multiple injuries, fractures, head injuries, hypothermia following prolonged immobilisation, reduced mobility, depression and death.</t>
  </si>
  <si>
    <t>Falling Between Levels</t>
  </si>
  <si>
    <t>Bruising, puncture wounds, fractures, internal organ injuries, spinal injuries, head injuries, intracranial haemorrhage, shock and death.</t>
  </si>
  <si>
    <t>Fire and Explosions</t>
  </si>
  <si>
    <t>Burns, smoke inhalation, toxic gas poisoning, breathing difficulties, crush injuries from structural collapse and death.</t>
  </si>
  <si>
    <t>Flames, Hot Surfaces, etc.</t>
  </si>
  <si>
    <t>Burns, scalds, tissue damage, infection, permanent scarring and death in severe cases.</t>
  </si>
  <si>
    <t>Collisions, Entrapment and Ergonomics</t>
  </si>
  <si>
    <t>Cuts, bruising, fractures, fingertip injuries, crush injuries, musculoskeletal strains, head injuries and eye injuries.</t>
  </si>
  <si>
    <t>Structural Collapse and Falling Elements</t>
  </si>
  <si>
    <t>Crush injuries, fractures, head injuries, lacerations, internal injuries and death.</t>
  </si>
  <si>
    <t>Electrical Hazards</t>
  </si>
  <si>
    <t>Electric shock, burns, cardiac arrest, neurological injury and death.</t>
  </si>
  <si>
    <t>Physiological requirements</t>
  </si>
  <si>
    <t>Excess Cold</t>
  </si>
  <si>
    <t>Hypothermia, heart attack, stroke, respiratory illness including influenza, bronchitis and pneumonia, worsening asthma and COPD, reduced dexterity and adverse effects on mental wellbeing.</t>
  </si>
  <si>
    <t>Lung cancer associated with radon, genetic damage, skin injury, cataracts and radiation-induced cancers.</t>
  </si>
  <si>
    <t>Damp and Mould Growth</t>
  </si>
  <si>
    <t>Allergies, asthma, allergic rhinitis, fungal infections, respiratory infections, dermatitis, hypersensitivity pneumonitis, worsening chronic respiratory disease and adverse effects on mental wellbeing.</t>
  </si>
  <si>
    <t>Lead poisoning, developmental delay, reduced IQ, behavioural disorders, kidney damage, hypertension, neurological impairment and reproductive effects.</t>
  </si>
  <si>
    <t>Indoor Air Pollutants</t>
  </si>
  <si>
    <t>Carbon monoxide poisoning, headaches, dizziness, respiratory disease, asthma, coronary heart disease, stroke, lung cancer, eye irritation and death.</t>
  </si>
  <si>
    <t>Excess Heat</t>
  </si>
  <si>
    <t>Heat exhaustion, heat stroke, dehydration, cardiovascular disease, respiratory illness, kidney injury and premature mortality.</t>
  </si>
  <si>
    <t>Mesothelioma, lung cancer, asbestosis, pleural disease, skin irritation, eye irritation and respiratory irritation.</t>
  </si>
  <si>
    <t>Protection against infection</t>
  </si>
  <si>
    <t>Domestic Hygiene</t>
  </si>
  <si>
    <t>Food poisoning, gastroenteritis, vomiting, diarrhoea, dehydration, bacterial and viral infections, parasitic infections and death in vulnerable occupants.</t>
  </si>
  <si>
    <t>Water Supply</t>
  </si>
  <si>
    <t>Gastrointestinal illness, Legionnaires' disease, kidney damage, cancer, allergic reactions, neurological disorders, reproductive effects and dehydration arising from inadequate supply.</t>
  </si>
  <si>
    <t>Psychological requirements</t>
  </si>
  <si>
    <t>Crowding and Space</t>
  </si>
  <si>
    <t>Respiratory infections, stress, anxiety, depression, sleep disturbance, accidents, impaired child development and reduced mental wellbeing.</t>
  </si>
  <si>
    <t>Entry by Intruders</t>
  </si>
  <si>
    <t>Physical assault, injury, psychological trauma, anxiety, stress, sleep disturbance and fear of crime.</t>
  </si>
  <si>
    <t>Sleep disturbance, stress, anxiety, poor concentration, cognitive impairment in children, tinnitus, hypertension, cardiovascular disease and reduced mental wellbeing.</t>
  </si>
  <si>
    <t>Trips and falls, eye strain, headaches, reduced visual performance, anxiety, depression and impaired mental wellbeing.</t>
  </si>
  <si>
    <t>Lighting and obstructed views</t>
  </si>
  <si>
    <t>Letter of INSTRUCTION Date</t>
  </si>
  <si>
    <t>Letter of CLAIM Date</t>
  </si>
  <si>
    <t>Roof</t>
  </si>
  <si>
    <t>Hallway and Landing Area</t>
  </si>
  <si>
    <t>Radiators</t>
  </si>
  <si>
    <t>No</t>
  </si>
  <si>
    <t>Suggested Breach</t>
  </si>
  <si>
    <t>Fair</t>
  </si>
  <si>
    <t>KITCHEN</t>
  </si>
  <si>
    <t>Defendant Comments</t>
  </si>
  <si>
    <t>Defendant Estimate</t>
  </si>
  <si>
    <t>This report was prepared by Shahriar Ibn Hussain, MRICS, MCIOB, MEWI, BSc (Hons), a Chartered Surveyor and full member of the Royal Institution of Chartered Surveyors (RICS), Chartered Institute of Building (CIOB) and Expert Witness Institute (EWI), with over 13 years’ professional experience within the property and construction industry.
The author has extensive experience in the inspection and assessment of residential properties, with particular experience in identifying and diagnosing building defects, determining their probable causes and recommending appropriate remedial works.
The author regularly undertakes inspections and prepares Expert Witness reports in relation to housing conditions and building disrepair, including consideration of the condition of the building fabric, damp and mould, water ingress and other defects affecting residential accommodation. The author is experienced in preparing such reports with reference to Sections 9A, 10 and 11 of the Landlord and Tenant Act 1985 and Section 4 of the Defective Premises Act 1972, where applicable.</t>
  </si>
  <si>
    <t>BATHROOM</t>
  </si>
  <si>
    <t>Letter of Claim dated:</t>
  </si>
  <si>
    <t>Letter of Instruction dated:</t>
  </si>
  <si>
    <t>Wet</t>
  </si>
  <si>
    <t>The property is a self-contained flat arranged over one level. The subject property is located inside a purpose-built building which is of solid brick construction. The building consists of a pitched mansard roof with clay/concrete interlocking tiles. The approximate age of the building is circa 1900s.
The property comprises 1 x Living Room, 1 x Kitchen, 1 x Hallway, 1 x Bathroom, 1 x Separate WC, and 2 x Bedrooms.</t>
  </si>
  <si>
    <t>Circa 3-4 weeks</t>
  </si>
  <si>
    <t>Multiple active leaks/water ingress from the property above. Water damage affecting walls and ceiling, including discoloured water staining, damp and mould, cracked and softened plaster, and defective decorative finishes. Concern regarding water affecting the flooring. Defective taps, with hot water discharging from the cold tap.</t>
  </si>
  <si>
    <t>Signs of active water ingress were observed within the bathroom at the time of inspection, affecting the ceiling, walls and floor. Water staining and deterioration of decorative finishes were present to the ceiling, with areas of plaster exhibiting softening, loss of adhesion and debonding from the underlying substrate. Active water pooling was observed to areas of the bathroom floor. Elevated protimeter readings were recorded within the affected areas, including in close proximity to the ceiling light fitting. The ceiling light fitting had been removed prior to the inspection. The extractor fan was tested and found to be non-operational. During testing of the bath taps, intermittently warm water was discharged from the cold-water tap. The tenant reported that the water discharged from the cold tap becomes extremely hot during bathing; however, water at the temperature described by the tenant was not replicated during the inspection.</t>
  </si>
  <si>
    <t>On the balance of probabilities, the active water ingress, elevated protimeter readings, water pooling and deterioration of the internal finishes are attributable to an ongoing leak from water supply and/or waste pipework serving the block. Continued water ingress has resulted in saturation of the ceiling, wall and floor construction, causing softening of the plaster, loss of adhesion, debonding and deterioration of decorative finishes. In addition, the presence of elevated protimeter readings in close proximity to the ceiling light fitting presents an electrical safety concern. The light fitting had already been removed at the time of inspection, consistent with precautionary works undertaken in response to the ongoing water ingress. On the balance of probabilities, the failure of the extractor fan is attributable to deterioration of its electrical components associated with the ongoing water ingress, together with age-related wear. The intermittent discharge of warm water from the cold-water tap indicates cross-flow between the hot and cold-water supplies or a defect within the associated tap/mixing arrangement. The tenant's report of intermittent extremely hot discharge was not replicated during the inspection; however, the abnormal warm-water discharge observed confirms a plumbing defect requiring investigation.</t>
  </si>
  <si>
    <t>A competent plumber should inspect the water supply and waste pipework serving the block and undertake the necessary repairs to eliminate the active leaks. The repaired installation should be pressure-tested and discharge-tested as appropriate to confirm watertight performance (£300). A competent plumber should inspect the bath tap and associated hot and cold-water supplies, identify the source of cross-flow and undertake the necessary repairs, followed by testing to confirm correct hot and cold-water delivery (£150). Following cessation of water ingress, the affected ceiling, wall and floor construction should be subject to controlled drying until acceptable protimeter readings are achieved (£65). Debonded and saturated plaster should be removed back to a sound substrate, and affected areas replastered. Following curing, the affected areas should be sanded where required, sealed with an appropriate stain-blocking treatment, and fully redecorated using a moisture-resistant paint system (£330). The electrical installation and wiring within the water-affected bathroom, including the circuit serving the removed light fitting, should be inspected, tested and made safe by a suitably qualified electrician in accordance with NICEIC requirements and BS 7671 (£150). The extractor fan should be renewed to ensure effective mechanical ventilation. Installation, testing and certification should be carried out by a suitably qualified electrician in accordance with NICEIC requirements and BS 7671 (£110). A single NICEIC testing and certification allowance should be made for the bathroom and kitchen electrical works (£170).</t>
  </si>
  <si>
    <t>S9A S10 S11 LTA - Cat 2, Risk Hazards 11 and 23</t>
  </si>
  <si>
    <t>Faulty and defective electrics throughout.</t>
  </si>
  <si>
    <t>The electrical socket outlets tested were operational at the time of inspection. The kitchen lighting was not operational.</t>
  </si>
  <si>
    <t>On the balance of probabilities, the failure of the kitchen lighting is attributable to the ongoing water ingress identified within the adjoining areas of the property. Water ingress has affected the electrical installation and associated components, resulting in failure of the lighting circuit or fittings. Given the known water ingress elsewhere within the property, the affected electrical installation requires testing before continued use.</t>
  </si>
  <si>
    <t>The kitchen lighting circuit, associated wiring and light fittings should be inspected and tested by a suitably qualified electrician. Water-affected electrical components should be renewed and the installation made safe in accordance with BS 7671 (£150). NICEIC testing and certification is included within the Bathroom section to avoid duplication of electrical certification costs (£0 – cost included under Bathroom).</t>
  </si>
  <si>
    <t>S11 LTA - Cat 2, Risk Hazard 23</t>
  </si>
  <si>
    <t>ADDITIONAL CLAIM ITEMS</t>
  </si>
  <si>
    <t>Defective kitchen floor. Defective hallway floor.</t>
  </si>
  <si>
    <t>The kitchen floor was defective at the time of inspection, with significant undulation and swelling of the laminate floorboards together with signs of water exposure. Elevated protimeter readings were recorded to the affected floor. The hallway flooring adjacent to the bathroom was also swollen and deteriorated, with elevated protimeter readings recorded at the time of inspection.</t>
  </si>
  <si>
    <t>On the balance of probabilities, the elevated protimeter readings, swelling and deterioration of the kitchen and hallway laminate flooring are attributable to the ongoing escape of water identified elsewhere within the property. Water has migrated through the adjoining floor construction and become retained beneath and within the moisture-sensitive laminate flooring, resulting in swelling, loss of dimensional stability and deterioration of the floor finish. The precise section of concealed pipework responsible for the water escape cannot be established from the floor finishes alone; the source is to be addressed through the plumbing investigation specified within the Bathroom section.</t>
  </si>
  <si>
    <t>The source of water escape should first be rectified as specified and costed within the Bathroom section (£0 – cost included under Bathroom). The water-damaged laminate flooring to the kitchen and hallway should be uplifted and disposed of, and the exposed floor construction subject to controlled drying until acceptable protimeter readings are achieved (£65). Following drying, the underlying substrate should be prepared and new laminate flooring and underlay installed to the affected kitchen and hallway areas, including appropriate thresholds and finishing trims (£675). This approach is consistent with the previous reporting methodology for swollen laminate flooring affected by water ingress.</t>
  </si>
  <si>
    <t>S9A S10 S11 LTA - Cat 2, Risk Hazards 11 and 29</t>
  </si>
  <si>
    <t>Signs of active water ingress were observed within the bathroom at the time of inspection, affecting the ceiling, walls and floor. Water staining and deterioration of decorative finishes were present to the ceiling, with areas of plaster displaying softening, loss of adhesion and debonding from the underlying substrate. Active water pooling was observed to areas of the bathroom floor. Elevated protimeter readings were recorded within the affected areas, including in close proximity to the ceiling light fitting. The ceiling light fitting had been removed prior to the inspection. The extractor fan was tested and found to be non-operational. During testing of the bath taps, intermittently warm water was discharged from the cold-water tap. The tenant reported that the water discharged from the cold tap becomes extremely hot during bathing; however, water at the temperature described by the tenant was not replicated during the inspection.</t>
  </si>
  <si>
    <t xml:space="preserve">On the balance of probabilities, the active water ingress, elevated protimeter readings, water pooling and deterioration of the internal finishes are attributable to an ongoing leak from water supply and/or waste pipework serving the block. Continued water ingress has resulted in saturation of the ceiling, wall and floor construction, causing softening of the plaster, loss of adhesion, debonding and deterioration of decorative finishes. On the balance of probabilities, the failure of the extractor fan is attributable to deterioration of its electrical components associated with the ongoing water ingress, together with age-related wear. The intermittent discharge of warm water from the cold-water tap indicates cross-flow between the hot and cold-water supplies or a defect within the associated tap/mixing arrangement. </t>
  </si>
  <si>
    <t>A competent plumber should inspect the water supply and waste pipework serving the block and undertake the necessary repairs to eliminate the active leaks. The repaired installation should be pressure-tested and discharge-tested as appropriate to confirm watertight performance (£300). A plumber should also inspect the bath tap and associated hot and cold-water supplies, identify the source of cross-flow and undertake the necessary repairs, followed by testing to confirm correct hot and cold-water delivery (£150). Following cessation of water ingress, the affected ceiling, wall and floor construction should be subject to controlled drying until acceptable protimeter readings are achieved (£65). Debonded and saturated plaster should be removed back to a sound substrate, and affected areas replastered. Following curing, the affected areas should be sanded where required, sealed with an appropriate stain-blocking treatment, and fully redecorated using a moisture-resistant paint system (£330). The water-damaged vinyl sheet flooring should be uplifted and disposed of. Following adequate drying of the underlying floor construction, new vinyl sheet flooring should be installed, including preparation of the substrate, adhesive and perimeter finishing (£276). The electrical installation and wiring within the bathroom, including the circuit serving the removed light fitting, should be inspected, tested and made safe by a suitably qualified electrician (£95). The extractor fan should be renewed to ensure effective mechanical ventilation. Installation, testing and certification should be carried out by a suitably qualified electrician in accordance with NICEIC requirements and BS 7671 (£280).</t>
  </si>
  <si>
    <t>The electrical sockets tested were found to be operational at the time of inspection. The kitchen lighting, however, did not operate when tested. Ongoing water ingress was also identified elsewhere within the property, as detailed under the Bathroom section, and given the presence of moisture within the property, the condition and safety of the electrical installation should be appropriately assessed.</t>
  </si>
  <si>
    <t xml:space="preserve">The kitchen lighting circuit, associated wiring and light fittings should be inspected and tested by a suitably qualified electrician. Water-affected electrical components should be renewed and the installation made safe in accordance with BS 7671 (£150). </t>
  </si>
  <si>
    <t>S9A S10 S11 LTA - Cat 2, Risk Hazards 11 and 8</t>
  </si>
  <si>
    <t xml:space="preserve">On the balance of probabilities, the elevated protimeter readings, swelling and deterioration of the kitchen and hallway laminate flooring are attributable to the ongoing leak from a concealed pipe within the property. Water has migrated through the adjoining floor construction and become retained beneath and within the moisture-sensitive laminate flooring, resulting in swelling, loss of dimensional stability and deterioration of the floor finish. </t>
  </si>
  <si>
    <t xml:space="preserve">The source of water escape should first be rectified as specified and costed within the Bathroom section. The water-damaged laminate flooring to the kitchen and hallway should be uplifted and disposed of, and the exposed floor construction subject to controlled drying until acceptable protimeter readings are achieved (£146). Following drying, the underlying substrate should be prepared and new laminate flooring and underlay installed to the affected kitchen and hallway areas, including appropriate thresholds and finishing trims (£478). </t>
  </si>
  <si>
    <t>i. BATHROOM</t>
  </si>
  <si>
    <t>On the balance of probabilities, the active water ingress, elevated protimeter readings, water pooling and deterioration of the internal finishes are attributable to an ongoing leak from water supply and/or waste pipework serving the block. Continued water ingress has resulted in saturation of the ceiling, wall and floor construction, causing softening of the plaster, loss of adhesion, debonding and deterioration of decorative finishes. On the balance of probabilities, the failure of the extractor fan is attributable to deterioration of its electrical components associated with the ongoing water ingress, together with age-related wear. The intermittent discharge of warm water from the cold-water tap indicates cross-flow between the hot and cold-water supplies or a defect within the associated tap/mixing arrangement.</t>
  </si>
  <si>
    <t>ii. KITCHEN</t>
  </si>
  <si>
    <t>The kitchen lighting circuit, associated wiring and light fittings should be inspected and tested by a suitably qualified electrician. Water-affected electrical components should be renewed and the installation made safe in accordance with BS 7671 (£150).</t>
  </si>
  <si>
    <t>iii. ADDITIONAL CLAIM ITEMS</t>
  </si>
  <si>
    <t>On the balance of probabilities, the elevated protimeter readings, swelling and deterioration of the kitchen and hallway laminate flooring are attributable to the ongoing leak from a concealed pipe within the property. Water has migrated through the adjoining floor construction and become retained beneath and within the moisture-sensitive laminate flooring, resulting in swelling, loss of dimensional stability and deterioration of the floor finish.</t>
  </si>
  <si>
    <t>The source of water escape should first be rectified as specified and costed within the Bathroom section. The water-damaged laminate flooring to the kitchen and hallway should be uplifted and disposed of, and the exposed floor construction subject to controlled drying until acceptable protimeter readings are achieved (£146). Following drying, the underlying substrate should be prepared and new laminate flooring and underlay installed to the affected kitchen and hallway areas, including appropriate thresholds and finishing trims (£478).</t>
  </si>
  <si>
    <t>ITEM 1 – BATHROOM</t>
  </si>
  <si>
    <t>ITEM 1 – BATHROOM; Multiple active leaks/water ingress from the property above. Water damage affecting walls and ceiling, including discoloured water staining, damp and mould, cracked and softened plaster, and defective decorative finishes. Concern regarding water affecting the flooring. Defective taps, with hot water discharging from the cold tap.</t>
  </si>
  <si>
    <t>ITEM 2 – KITCHEN</t>
  </si>
  <si>
    <t>ITEM 2 – KITCHEN; Faulty and defective electrics throughout.</t>
  </si>
  <si>
    <t>ITEM 3 – ADDITIONAL CLAIM ITEMS</t>
  </si>
  <si>
    <t>ITEM 3 – ADDITIONAL CLAIM ITEMS; Defective kitchen floor. Defective hallway floor.</t>
  </si>
  <si>
    <t xml:space="preserve">Signs of active water ingress were observed within the bathroom at the time of inspection, affecting the ceiling, walls and floor. Water staining and deterioration of decorative finishes were present to the ceiling, with areas of plaster displaying softening, loss of adhesion and debonding from the underlying substrate. Active water pooling was observed to areas of the bathroom floor. Elevated protimeter readings were recorded within the affected areas, including in close proximity to the ceiling light fitting. The ceiling light fitting had been removed prior to the inspection. The extractor fan was tested and found to be non-operational. During testing of the bath taps, intermittently warm water was discharged from the cold-water tap. The tenant reported that the water discharged from the cold tap becomes extremely hot during bathing; however, water at the temperature described by the tenant was not replicated during the inspection._x000D_
_x000D_
On the balance of probabilities, the active water ingress, elevated protimeter readings, water pooling and deterioration of the internal finishes are attributable to an ongoing leak from water supply and/or waste pipework serving the block. Continued water ingress has resulted in saturation of the ceiling, wall and floor construction, causing softening of the plaster, loss of adhesion, debonding and deterioration of decorative finishes. On the balance of probabilities, the failure of the extractor fan is attributable to deterioration of its electrical components associated with the ongoing water ingress, together with age-related wear. The intermittent discharge of warm water from the cold-water tap indicates cross-flow between the hot and cold-water supplies or a defect within the associated tap/mixing arrangement. </t>
  </si>
  <si>
    <t>The electrical sockets tested were found to be operational at the time of inspection. The kitchen lighting, however, did not operate when tested. Ongoing water ingress was also identified elsewhere within the property, as detailed under the Bathroom section, and given the presence of moisture within the property, the condition and safety of the electrical installation should be appropriately assessed._x000D_
_x000D_
On the balance of probabilities, the failure of the kitchen lighting is attributable to the ongoing water ingress identified within the adjoining areas of the property. Water ingress has affected the electrical installation and associated components, resulting in failure of the lighting circuit or fittings. Given the known water ingress elsewhere within the property, the affected electrical installation requires testing before continued use.</t>
  </si>
  <si>
    <t xml:space="preserve">The kitchen floor was defective at the time of inspection, with significant undulation and swelling of the laminate floorboards together with signs of water exposure. Elevated protimeter readings were recorded to the affected floor. The hallway flooring adjacent to the bathroom was also swollen and deteriorated, with elevated protimeter readings recorded at the time of inspection._x000D_
_x000D_
On the balance of probabilities, the elevated protimeter readings, swelling and deterioration of the kitchen and hallway laminate flooring are attributable to the ongoing leak from a concealed pipe within the property. Water has migrated through the adjoining floor construction and become retained beneath and within the moisture-sensitive laminate flooring, resulting in swelling, loss of dimensional stability and deterioration of the floor finish. </t>
  </si>
  <si>
    <t>Additional Items Subtotal</t>
  </si>
  <si>
    <t>Additional Items Total</t>
  </si>
  <si>
    <t>ITEM 1: BATHROOM</t>
  </si>
  <si>
    <t>ITEM 2: KITCHEN</t>
  </si>
  <si>
    <t>ITEM 3: ADDITIONAL CLAIM ITEMS</t>
  </si>
  <si>
    <t>Additional Claim Items</t>
  </si>
  <si>
    <t>S9A S10 S11 LTA - Cat 2, Risk Hazards 11</t>
  </si>
  <si>
    <t>1. Bathroom</t>
  </si>
  <si>
    <t>2. Kitchen</t>
  </si>
  <si>
    <t>3. Additional Claim Item</t>
  </si>
  <si>
    <t>Miss REDACTED (Claimant)</t>
  </si>
  <si>
    <t>TLBS-000111</t>
  </si>
  <si>
    <t>Flat REDACTED, Regency Street, London, SW1P 4BE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</si>
</sst>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_);[Red]\(&quot;£&quot;#,##0\)"/>
    <numFmt numFmtId="165" formatCode="&quot;£&quot;#,##0.00_);[Red]\(&quot;£&quot;#,##0.00\)"/>
    <numFmt numFmtId="166" formatCode="_(&quot;£&quot;* #,##0.00_);_(&quot;£&quot;* \(#,##0.00\);_(&quot;£&quot;* &quot;-&quot;??_);_(@_)"/>
    <numFmt numFmtId="167" formatCode="_(* #,##0.00_);_(* \(#,##0.00\);_(* &quot;-&quot;??_);_(@_)"/>
    <numFmt numFmtId="168" formatCode="[$-F800]dddd\,\ mmmm\ dd\,\ yyyy"/>
    <numFmt numFmtId="169" formatCode="_-&quot;£&quot;* #,##0.00_-;_ \-&quot;£&quot;* #,##0.00_-;_ \-&quot;£&quot;* &quot;-&quot;??_-;_-@_-"/>
  </numFmts>
  <fonts count="59">
    <font>
      <sz val="12"/>
      <color theme="1"/>
      <name val="Tahoma"/>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1"/>
      <color theme="1"/>
      <name val="Arial"/>
      <family val="2"/>
    </font>
    <font>
      <sz val="12"/>
      <color theme="1"/>
      <name val="Tahoma"/>
      <family val="2"/>
    </font>
    <font>
      <sz val="11"/>
      <color theme="1"/>
      <name val="Tahoma"/>
      <family val="2"/>
    </font>
    <font>
      <sz val="12"/>
      <color theme="1"/>
      <name val="Arial"/>
      <family val="2"/>
    </font>
    <font>
      <sz val="10"/>
      <color theme="1"/>
      <name val="Arial"/>
      <family val="2"/>
    </font>
    <font>
      <sz val="11"/>
      <color theme="1"/>
      <name val="Arial"/>
      <family val="2"/>
    </font>
    <font>
      <sz val="18"/>
      <color theme="1"/>
      <name val="Arial"/>
      <family val="2"/>
    </font>
    <font>
      <b/>
      <sz val="14"/>
      <color theme="1"/>
      <name val="Arial"/>
      <family val="2"/>
    </font>
    <font>
      <sz val="14"/>
      <color theme="1"/>
      <name val="Arial"/>
      <family val="2"/>
    </font>
    <font>
      <sz val="8"/>
      <name val="Tahoma"/>
      <family val="2"/>
    </font>
    <font>
      <b/>
      <sz val="18"/>
      <color theme="1"/>
      <name val="Arial"/>
      <family val="2"/>
    </font>
    <font>
      <b/>
      <sz val="11"/>
      <color theme="1"/>
      <name val="Arial"/>
      <family val="2"/>
    </font>
    <font>
      <sz val="7"/>
      <color theme="1"/>
      <name val="Times New Roman"/>
      <family val="1"/>
    </font>
    <font>
      <b/>
      <sz val="7"/>
      <color theme="1"/>
      <name val="Times New Roman"/>
      <family val="1"/>
    </font>
    <font>
      <u/>
      <sz val="11"/>
      <color theme="1"/>
      <name val="Arial"/>
      <family val="2"/>
    </font>
    <font>
      <b/>
      <sz val="7"/>
      <color theme="1"/>
      <name val="Arial"/>
      <family val="2"/>
    </font>
    <font>
      <sz val="5"/>
      <color theme="1"/>
      <name val="Arial"/>
      <family val="2"/>
    </font>
    <font>
      <sz val="11"/>
      <color theme="1"/>
      <name val="Times New Roman"/>
      <family val="1"/>
    </font>
    <font>
      <b/>
      <sz val="10"/>
      <color theme="1"/>
      <name val="Arial"/>
      <family val="2"/>
    </font>
    <font>
      <b/>
      <sz val="10"/>
      <color rgb="FF000000"/>
      <name val="Arial"/>
      <family val="2"/>
    </font>
    <font>
      <sz val="11"/>
      <color theme="1"/>
      <name val="Calibri"/>
      <family val="2"/>
    </font>
    <font>
      <b/>
      <sz val="11"/>
      <color theme="1"/>
      <name val="Calibri"/>
      <family val="2"/>
    </font>
    <font>
      <b/>
      <sz val="12"/>
      <color theme="1"/>
      <name val="Arial"/>
      <family val="2"/>
    </font>
    <font>
      <b/>
      <sz val="12"/>
      <name val="Arial"/>
      <family val="2"/>
    </font>
    <font>
      <b/>
      <i/>
      <sz val="12"/>
      <color theme="1"/>
      <name val="Arial"/>
      <family val="2"/>
    </font>
    <font>
      <sz val="12"/>
      <color rgb="FF000000"/>
      <name val="Arial"/>
      <family val="2"/>
    </font>
    <font>
      <b/>
      <u/>
      <sz val="12"/>
      <color theme="1"/>
      <name val="Arial"/>
      <family val="2"/>
    </font>
    <font>
      <sz val="12"/>
      <color rgb="FF000000"/>
      <name val="Tahoma"/>
      <family val="2"/>
    </font>
    <font>
      <b/>
      <u/>
      <sz val="11"/>
      <color theme="1"/>
      <name val="Arial"/>
      <family val="2"/>
    </font>
    <font>
      <sz val="12"/>
      <color rgb="FFFF0000"/>
      <name val="Arial"/>
      <family val="2"/>
    </font>
    <font>
      <b/>
      <u/>
      <sz val="16"/>
      <color theme="1"/>
      <name val="Arial"/>
      <family val="2"/>
    </font>
    <font>
      <sz val="16"/>
      <color theme="1"/>
      <name val="Arial"/>
      <family val="2"/>
    </font>
    <font>
      <b/>
      <sz val="18"/>
      <color rgb="FFFF0000"/>
      <name val="Arial"/>
      <family val="2"/>
    </font>
    <font>
      <sz val="11"/>
      <name val="Carlito"/>
    </font>
    <font>
      <sz val="9"/>
      <name val="Arial"/>
      <family val="2"/>
    </font>
  </fonts>
  <fills count="13">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9999"/>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39997558519241921"/>
        <bgColor indexed="64"/>
      </patternFill>
    </fill>
  </fills>
  <borders count="31">
    <border>
      <left/>
      <right/>
      <top/>
      <bottom/>
      <diagonal/>
    </border>
    <border>
      <left/>
      <right/>
      <top style="thick">
        <color rgb="FF7030A0"/>
      </top>
      <bottom/>
      <diagonal/>
    </border>
    <border>
      <left/>
      <right/>
      <top/>
      <bottom style="thick">
        <color indexed="64"/>
      </bottom>
      <diagonal/>
    </border>
    <border>
      <left/>
      <right/>
      <top style="thick">
        <color theme="8" tint="-0.249977111117893"/>
      </top>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right/>
      <top/>
      <bottom style="thick">
        <color rgb="FF782170"/>
      </bottom>
      <diagonal/>
    </border>
    <border>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166" fontId="25" fillId="0" borderId="0" applyFont="0" applyFill="0" applyBorder="0" applyAlignment="0" applyProtection="0"/>
    <xf numFmtId="0" fontId="57" fillId="0" borderId="0"/>
  </cellStyleXfs>
  <cellXfs count="289">
    <xf numFmtId="0" fontId="0" fillId="0" borderId="0" xfId="0"/>
    <xf numFmtId="0" fontId="26" fillId="0" borderId="0" xfId="0" applyFont="1"/>
    <xf numFmtId="0" fontId="27" fillId="0" borderId="0" xfId="0" applyFont="1"/>
    <xf numFmtId="0" fontId="28" fillId="0" borderId="1" xfId="0" applyFont="1" applyBorder="1"/>
    <xf numFmtId="0" fontId="27" fillId="0" borderId="1" xfId="0" applyFont="1" applyBorder="1"/>
    <xf numFmtId="0" fontId="29" fillId="0" borderId="0" xfId="0" applyFont="1"/>
    <xf numFmtId="0" fontId="30" fillId="0" borderId="0" xfId="0" applyFont="1" applyAlignment="1">
      <alignment horizontal="center"/>
    </xf>
    <xf numFmtId="0" fontId="30" fillId="0" borderId="0" xfId="0" applyFont="1"/>
    <xf numFmtId="0" fontId="29" fillId="0" borderId="0" xfId="0" applyFont="1" applyAlignment="1">
      <alignment vertical="center" wrapText="1"/>
    </xf>
    <xf numFmtId="0" fontId="27" fillId="0" borderId="3" xfId="0" applyFont="1" applyBorder="1"/>
    <xf numFmtId="0" fontId="29" fillId="0" borderId="0" xfId="0" quotePrefix="1" applyFont="1"/>
    <xf numFmtId="0" fontId="29" fillId="0" borderId="0" xfId="0" applyFont="1" applyAlignment="1">
      <alignment horizontal="left"/>
    </xf>
    <xf numFmtId="0" fontId="34" fillId="0" borderId="0" xfId="0" applyFont="1"/>
    <xf numFmtId="0" fontId="35" fillId="0" borderId="0" xfId="0" applyFont="1" applyAlignment="1">
      <alignment vertical="center"/>
    </xf>
    <xf numFmtId="0" fontId="29" fillId="0" borderId="0" xfId="0" applyFont="1" applyAlignment="1">
      <alignment vertical="center"/>
    </xf>
    <xf numFmtId="0" fontId="35" fillId="0" borderId="0" xfId="0" applyFont="1"/>
    <xf numFmtId="0" fontId="29" fillId="0" borderId="0" xfId="0" applyFont="1" applyAlignment="1">
      <alignment horizontal="left" vertical="center" wrapText="1"/>
    </xf>
    <xf numFmtId="0" fontId="29" fillId="0" borderId="0" xfId="0" applyFont="1" applyAlignment="1">
      <alignment horizontal="left" vertical="center" indent="2"/>
    </xf>
    <xf numFmtId="0" fontId="29" fillId="0" borderId="0" xfId="0" applyFont="1" applyAlignment="1">
      <alignment horizontal="left" vertical="center"/>
    </xf>
    <xf numFmtId="0" fontId="29" fillId="0" borderId="0" xfId="0" applyFont="1" applyAlignment="1">
      <alignment horizontal="left" vertical="top" wrapText="1"/>
    </xf>
    <xf numFmtId="0" fontId="29" fillId="0" borderId="0" xfId="0" applyFont="1" applyAlignment="1">
      <alignment vertical="top" wrapText="1"/>
    </xf>
    <xf numFmtId="0" fontId="29" fillId="0" borderId="3" xfId="0" applyFont="1" applyBorder="1"/>
    <xf numFmtId="0" fontId="28" fillId="0" borderId="0" xfId="0" applyFont="1" applyAlignment="1">
      <alignment vertical="center"/>
    </xf>
    <xf numFmtId="0" fontId="29" fillId="0" borderId="0" xfId="0" applyFont="1" applyAlignment="1">
      <alignment horizontal="justify" vertical="center"/>
    </xf>
    <xf numFmtId="0" fontId="35" fillId="0" borderId="0" xfId="0" applyFont="1" applyAlignment="1">
      <alignment vertical="top"/>
    </xf>
    <xf numFmtId="0" fontId="35" fillId="0" borderId="0" xfId="0" applyFont="1" applyAlignment="1">
      <alignment horizontal="left" vertical="center"/>
    </xf>
    <xf numFmtId="0" fontId="35" fillId="0" borderId="0" xfId="0" applyFont="1" applyAlignment="1">
      <alignment horizontal="left" vertical="top"/>
    </xf>
    <xf numFmtId="0" fontId="29" fillId="0" borderId="0" xfId="0" applyFont="1" applyAlignment="1">
      <alignment vertical="top"/>
    </xf>
    <xf numFmtId="0" fontId="29" fillId="0" borderId="0" xfId="0" applyFont="1" applyAlignment="1">
      <alignment horizontal="left" vertical="center" indent="3"/>
    </xf>
    <xf numFmtId="0" fontId="27" fillId="0" borderId="0" xfId="0" applyFont="1" applyAlignment="1">
      <alignment vertical="top"/>
    </xf>
    <xf numFmtId="0" fontId="34" fillId="0" borderId="0" xfId="0" applyFont="1" applyAlignment="1">
      <alignment vertical="center"/>
    </xf>
    <xf numFmtId="0" fontId="34" fillId="0" borderId="0" xfId="0" applyFont="1" applyAlignment="1">
      <alignment horizontal="left" vertical="center"/>
    </xf>
    <xf numFmtId="0" fontId="27" fillId="0" borderId="0" xfId="0" applyFont="1" applyAlignment="1">
      <alignment horizontal="left"/>
    </xf>
    <xf numFmtId="0" fontId="40" fillId="0" borderId="0" xfId="0" applyFont="1" applyAlignment="1">
      <alignment vertical="center"/>
    </xf>
    <xf numFmtId="168" fontId="29" fillId="0" borderId="0" xfId="0" applyNumberFormat="1" applyFont="1" applyAlignment="1">
      <alignment horizontal="left"/>
    </xf>
    <xf numFmtId="0" fontId="28" fillId="0" borderId="0" xfId="0" applyFont="1"/>
    <xf numFmtId="0" fontId="28" fillId="0" borderId="0" xfId="0" applyFont="1" applyAlignment="1">
      <alignment horizontal="center" vertical="top"/>
    </xf>
    <xf numFmtId="0" fontId="27" fillId="0" borderId="0" xfId="0" quotePrefix="1" applyFont="1"/>
    <xf numFmtId="0" fontId="34" fillId="0" borderId="0" xfId="0" applyFont="1" applyAlignment="1">
      <alignment vertical="top"/>
    </xf>
    <xf numFmtId="166" fontId="27" fillId="0" borderId="0" xfId="1" applyFont="1" applyAlignment="1">
      <alignment vertical="top"/>
    </xf>
    <xf numFmtId="0" fontId="28" fillId="0" borderId="4" xfId="0" applyFont="1" applyBorder="1" applyAlignment="1">
      <alignment vertical="top" wrapText="1"/>
    </xf>
    <xf numFmtId="166" fontId="28" fillId="0" borderId="4" xfId="1" applyFont="1" applyBorder="1" applyAlignment="1">
      <alignment vertical="top" wrapText="1"/>
    </xf>
    <xf numFmtId="0" fontId="44" fillId="0" borderId="3" xfId="0" applyFont="1" applyBorder="1"/>
    <xf numFmtId="0" fontId="44" fillId="0" borderId="0" xfId="0" applyFont="1"/>
    <xf numFmtId="0" fontId="44" fillId="3" borderId="0" xfId="0" applyFont="1" applyFill="1"/>
    <xf numFmtId="0" fontId="45" fillId="0" borderId="0" xfId="0" applyFont="1" applyAlignment="1">
      <alignment horizontal="center" vertical="center" wrapText="1"/>
    </xf>
    <xf numFmtId="0" fontId="45" fillId="0" borderId="0" xfId="0" applyFont="1" applyAlignment="1">
      <alignment horizontal="left" vertical="center"/>
    </xf>
    <xf numFmtId="0" fontId="43" fillId="2" borderId="5" xfId="0" applyFont="1" applyFill="1" applyBorder="1" applyAlignment="1">
      <alignment horizontal="left" vertical="top" wrapText="1"/>
    </xf>
    <xf numFmtId="0" fontId="43" fillId="2" borderId="6" xfId="0" applyFont="1" applyFill="1" applyBorder="1" applyAlignment="1">
      <alignment horizontal="left" vertical="top" wrapText="1"/>
    </xf>
    <xf numFmtId="0" fontId="43" fillId="2" borderId="6" xfId="1" applyNumberFormat="1" applyFont="1" applyFill="1" applyBorder="1" applyAlignment="1">
      <alignment horizontal="left" vertical="top" wrapText="1"/>
    </xf>
    <xf numFmtId="0" fontId="43" fillId="2" borderId="7" xfId="0" applyFont="1" applyFill="1" applyBorder="1" applyAlignment="1">
      <alignment horizontal="left" vertical="top" wrapText="1"/>
    </xf>
    <xf numFmtId="0" fontId="28" fillId="0" borderId="12" xfId="0" applyFont="1" applyBorder="1" applyAlignment="1">
      <alignment vertical="top" wrapText="1"/>
    </xf>
    <xf numFmtId="166" fontId="28" fillId="0" borderId="12" xfId="1" applyFont="1" applyBorder="1" applyAlignment="1">
      <alignment vertical="top" wrapText="1"/>
    </xf>
    <xf numFmtId="0" fontId="28" fillId="0" borderId="13" xfId="0" applyFont="1" applyBorder="1" applyAlignment="1">
      <alignment vertical="top" wrapText="1"/>
    </xf>
    <xf numFmtId="0" fontId="28" fillId="0" borderId="15" xfId="0" applyFont="1" applyBorder="1" applyAlignment="1">
      <alignment vertical="top" wrapText="1"/>
    </xf>
    <xf numFmtId="0" fontId="28" fillId="0" borderId="17" xfId="0" applyFont="1" applyBorder="1" applyAlignment="1">
      <alignment vertical="top" wrapText="1"/>
    </xf>
    <xf numFmtId="49" fontId="28" fillId="0" borderId="11" xfId="0" applyNumberFormat="1" applyFont="1" applyBorder="1" applyAlignment="1">
      <alignment vertical="top" wrapText="1"/>
    </xf>
    <xf numFmtId="49" fontId="28" fillId="0" borderId="12" xfId="0" applyNumberFormat="1" applyFont="1" applyBorder="1" applyAlignment="1">
      <alignment vertical="top" wrapText="1"/>
    </xf>
    <xf numFmtId="49" fontId="28" fillId="0" borderId="14" xfId="0" applyNumberFormat="1" applyFont="1" applyBorder="1" applyAlignment="1">
      <alignment vertical="top" wrapText="1"/>
    </xf>
    <xf numFmtId="49" fontId="28" fillId="0" borderId="4" xfId="0" applyNumberFormat="1" applyFont="1" applyBorder="1" applyAlignment="1">
      <alignment vertical="top" wrapText="1"/>
    </xf>
    <xf numFmtId="49" fontId="28" fillId="0" borderId="16" xfId="0" applyNumberFormat="1" applyFont="1" applyBorder="1" applyAlignment="1">
      <alignment vertical="top" wrapText="1"/>
    </xf>
    <xf numFmtId="49" fontId="28" fillId="0" borderId="17" xfId="0" applyNumberFormat="1" applyFont="1" applyBorder="1" applyAlignment="1">
      <alignment vertical="top" wrapText="1"/>
    </xf>
    <xf numFmtId="49" fontId="28" fillId="0" borderId="19" xfId="0" applyNumberFormat="1" applyFont="1" applyBorder="1" applyAlignment="1">
      <alignment vertical="top" wrapText="1"/>
    </xf>
    <xf numFmtId="49" fontId="28" fillId="0" borderId="20" xfId="0" applyNumberFormat="1" applyFont="1" applyBorder="1" applyAlignment="1">
      <alignment vertical="top" wrapText="1"/>
    </xf>
    <xf numFmtId="49" fontId="28" fillId="0" borderId="21" xfId="0" applyNumberFormat="1" applyFont="1" applyBorder="1" applyAlignment="1">
      <alignment vertical="top" wrapText="1"/>
    </xf>
    <xf numFmtId="166" fontId="28" fillId="0" borderId="17" xfId="1" applyFont="1" applyBorder="1" applyAlignment="1">
      <alignment vertical="top" wrapText="1"/>
    </xf>
    <xf numFmtId="0" fontId="28" fillId="0" borderId="18" xfId="0" applyFont="1" applyBorder="1" applyAlignment="1">
      <alignment vertical="top" wrapText="1"/>
    </xf>
    <xf numFmtId="0" fontId="24" fillId="0" borderId="0" xfId="0" applyFont="1"/>
    <xf numFmtId="0" fontId="45" fillId="0" borderId="0" xfId="0" applyFont="1" applyAlignment="1">
      <alignment horizontal="center" vertical="center"/>
    </xf>
    <xf numFmtId="0" fontId="31" fillId="0" borderId="0" xfId="0" applyFont="1" applyAlignment="1">
      <alignment horizontal="center"/>
    </xf>
    <xf numFmtId="0" fontId="27" fillId="0" borderId="2" xfId="0" applyFont="1" applyBorder="1"/>
    <xf numFmtId="0" fontId="32" fillId="0" borderId="0" xfId="0" applyFont="1"/>
    <xf numFmtId="0" fontId="32" fillId="0" borderId="0" xfId="0" applyFont="1" applyAlignment="1">
      <alignment vertical="center"/>
    </xf>
    <xf numFmtId="0" fontId="22" fillId="0" borderId="0" xfId="0" applyFont="1"/>
    <xf numFmtId="0" fontId="35" fillId="0" borderId="0" xfId="0" applyFont="1" applyAlignment="1">
      <alignment vertical="center" wrapText="1"/>
    </xf>
    <xf numFmtId="0" fontId="22" fillId="0" borderId="0" xfId="0" applyFont="1" applyAlignment="1">
      <alignment horizontal="left" vertical="center"/>
    </xf>
    <xf numFmtId="166" fontId="29" fillId="0" borderId="0" xfId="1" applyFont="1" applyFill="1" applyAlignment="1">
      <alignment horizontal="left" vertical="center"/>
    </xf>
    <xf numFmtId="0" fontId="22" fillId="0" borderId="0" xfId="0" applyFont="1" applyAlignment="1">
      <alignment vertical="center" wrapText="1"/>
    </xf>
    <xf numFmtId="0" fontId="27" fillId="0" borderId="0" xfId="0" applyFont="1" applyAlignment="1">
      <alignment wrapText="1"/>
    </xf>
    <xf numFmtId="0" fontId="22" fillId="0" borderId="0" xfId="0" applyFont="1" applyAlignment="1">
      <alignment vertical="center"/>
    </xf>
    <xf numFmtId="0" fontId="22" fillId="0" borderId="0" xfId="0" applyFont="1" applyAlignment="1">
      <alignment vertical="top" wrapText="1"/>
    </xf>
    <xf numFmtId="0" fontId="45" fillId="0" borderId="0" xfId="0" applyFont="1" applyAlignment="1">
      <alignment vertical="center" wrapText="1"/>
    </xf>
    <xf numFmtId="0" fontId="45" fillId="0" borderId="0" xfId="0" applyFont="1" applyAlignment="1">
      <alignment vertical="center"/>
    </xf>
    <xf numFmtId="0" fontId="45" fillId="0" borderId="0" xfId="0" applyFont="1" applyAlignment="1">
      <alignment vertical="top"/>
    </xf>
    <xf numFmtId="0" fontId="27" fillId="0" borderId="3" xfId="0" applyFont="1" applyBorder="1" applyAlignment="1">
      <alignment horizontal="center"/>
    </xf>
    <xf numFmtId="0" fontId="27" fillId="0" borderId="0" xfId="0" applyFont="1" applyAlignment="1">
      <alignment horizontal="center"/>
    </xf>
    <xf numFmtId="0" fontId="22" fillId="0" borderId="0" xfId="0" applyFont="1" applyAlignment="1">
      <alignment horizontal="left" vertical="center" wrapText="1"/>
    </xf>
    <xf numFmtId="0" fontId="28" fillId="0" borderId="0" xfId="0" applyFont="1" applyAlignment="1">
      <alignment vertical="top"/>
    </xf>
    <xf numFmtId="166" fontId="28" fillId="0" borderId="0" xfId="1" applyFont="1" applyAlignment="1">
      <alignment vertical="top"/>
    </xf>
    <xf numFmtId="0" fontId="47" fillId="6" borderId="0" xfId="0" applyFont="1" applyFill="1" applyAlignment="1">
      <alignment horizontal="left" wrapText="1"/>
    </xf>
    <xf numFmtId="14" fontId="27" fillId="0" borderId="0" xfId="0" applyNumberFormat="1" applyFont="1" applyAlignment="1">
      <alignment horizontal="center"/>
    </xf>
    <xf numFmtId="0" fontId="47" fillId="0" borderId="0" xfId="0" applyFont="1" applyAlignment="1">
      <alignment horizontal="center" vertical="center"/>
    </xf>
    <xf numFmtId="0" fontId="47" fillId="6" borderId="22" xfId="0" applyFont="1" applyFill="1" applyBorder="1" applyAlignment="1">
      <alignment horizontal="left" vertical="center"/>
    </xf>
    <xf numFmtId="0" fontId="47" fillId="6" borderId="22" xfId="0" applyFont="1" applyFill="1" applyBorder="1" applyAlignment="1">
      <alignment horizontal="center" vertical="center"/>
    </xf>
    <xf numFmtId="0" fontId="48" fillId="0" borderId="22" xfId="0" applyFont="1" applyBorder="1"/>
    <xf numFmtId="0" fontId="0" fillId="0" borderId="0" xfId="0" applyAlignment="1">
      <alignment wrapText="1"/>
    </xf>
    <xf numFmtId="0" fontId="22" fillId="0" borderId="0" xfId="0" applyFont="1" applyAlignment="1">
      <alignment horizontal="left" vertical="top" wrapText="1"/>
    </xf>
    <xf numFmtId="0" fontId="22" fillId="8" borderId="0" xfId="0" applyFont="1" applyFill="1" applyAlignment="1">
      <alignment horizontal="center" vertical="center" wrapText="1"/>
    </xf>
    <xf numFmtId="0" fontId="22" fillId="5" borderId="0" xfId="0" applyFont="1" applyFill="1" applyAlignment="1">
      <alignment horizontal="center" vertical="center" wrapText="1"/>
    </xf>
    <xf numFmtId="0" fontId="0" fillId="0" borderId="23" xfId="0" applyBorder="1"/>
    <xf numFmtId="0" fontId="22" fillId="7" borderId="0" xfId="0" applyFont="1" applyFill="1" applyAlignment="1">
      <alignment horizontal="left" vertical="center"/>
    </xf>
    <xf numFmtId="0" fontId="22" fillId="7" borderId="0" xfId="0" applyFont="1" applyFill="1" applyAlignment="1">
      <alignment horizontal="left" vertical="center" wrapText="1"/>
    </xf>
    <xf numFmtId="14" fontId="27" fillId="7" borderId="0" xfId="0" applyNumberFormat="1" applyFont="1" applyFill="1" applyAlignment="1">
      <alignment horizontal="left"/>
    </xf>
    <xf numFmtId="14" fontId="27" fillId="0" borderId="0" xfId="0" applyNumberFormat="1" applyFont="1" applyAlignment="1">
      <alignment horizontal="left"/>
    </xf>
    <xf numFmtId="0" fontId="22" fillId="0" borderId="0" xfId="0" applyFont="1" applyAlignment="1">
      <alignment horizontal="right" vertical="center"/>
    </xf>
    <xf numFmtId="0" fontId="22" fillId="0" borderId="0" xfId="0" applyFont="1" applyAlignment="1">
      <alignment horizontal="right"/>
    </xf>
    <xf numFmtId="0" fontId="22" fillId="0" borderId="3" xfId="0" applyFont="1" applyBorder="1"/>
    <xf numFmtId="0" fontId="0" fillId="0" borderId="0" xfId="0" applyAlignment="1">
      <alignment horizontal="left"/>
    </xf>
    <xf numFmtId="0" fontId="0" fillId="0" borderId="0" xfId="0" applyAlignment="1">
      <alignment vertical="top"/>
    </xf>
    <xf numFmtId="0" fontId="26" fillId="0" borderId="0" xfId="0" applyFont="1" applyAlignment="1">
      <alignment vertical="top"/>
    </xf>
    <xf numFmtId="0" fontId="27" fillId="8" borderId="0" xfId="0" applyFont="1" applyFill="1" applyAlignment="1">
      <alignment horizontal="center" vertical="center" wrapText="1"/>
    </xf>
    <xf numFmtId="0" fontId="27" fillId="5" borderId="0" xfId="0" applyFont="1" applyFill="1" applyAlignment="1">
      <alignment horizontal="center" vertical="center" wrapText="1"/>
    </xf>
    <xf numFmtId="0" fontId="21" fillId="0" borderId="0" xfId="0" applyFont="1" applyAlignment="1">
      <alignment vertical="top" wrapText="1"/>
    </xf>
    <xf numFmtId="0" fontId="21" fillId="0" borderId="0" xfId="0" applyFont="1"/>
    <xf numFmtId="0" fontId="21" fillId="0" borderId="0" xfId="0" applyFont="1" applyAlignment="1">
      <alignment horizontal="left" vertical="center"/>
    </xf>
    <xf numFmtId="0" fontId="21" fillId="0" borderId="3" xfId="0" applyFont="1" applyBorder="1"/>
    <xf numFmtId="0" fontId="21" fillId="0" borderId="0" xfId="0" applyFont="1" applyAlignment="1">
      <alignment vertical="center"/>
    </xf>
    <xf numFmtId="14" fontId="21" fillId="0" borderId="0" xfId="0" applyNumberFormat="1" applyFont="1" applyAlignment="1">
      <alignment horizontal="left" vertical="center"/>
    </xf>
    <xf numFmtId="0" fontId="21" fillId="0" borderId="0" xfId="0" applyFont="1" applyAlignment="1">
      <alignment vertical="top"/>
    </xf>
    <xf numFmtId="0" fontId="21" fillId="0" borderId="0" xfId="0" applyFont="1" applyAlignment="1">
      <alignment horizontal="justify" vertical="center"/>
    </xf>
    <xf numFmtId="0" fontId="21" fillId="0" borderId="0" xfId="0" applyFont="1" applyAlignment="1">
      <alignment horizontal="left" vertical="center" indent="2"/>
    </xf>
    <xf numFmtId="0" fontId="21" fillId="0" borderId="0" xfId="0" applyFont="1" applyAlignment="1">
      <alignment horizontal="left" vertical="top"/>
    </xf>
    <xf numFmtId="0" fontId="27" fillId="0" borderId="0" xfId="0" applyFont="1" applyAlignment="1">
      <alignment vertical="center" wrapText="1"/>
    </xf>
    <xf numFmtId="0" fontId="20" fillId="0" borderId="0" xfId="0" applyFont="1" applyAlignment="1">
      <alignment vertical="top" wrapText="1"/>
    </xf>
    <xf numFmtId="0" fontId="19" fillId="0" borderId="0" xfId="0" applyFont="1" applyAlignment="1">
      <alignment vertical="center" wrapText="1"/>
    </xf>
    <xf numFmtId="0" fontId="27" fillId="0" borderId="0" xfId="0" applyFont="1" applyAlignment="1">
      <alignment horizontal="right"/>
    </xf>
    <xf numFmtId="0" fontId="0" fillId="9" borderId="0" xfId="0" applyFill="1"/>
    <xf numFmtId="0" fontId="27" fillId="9" borderId="0" xfId="0" applyFont="1" applyFill="1"/>
    <xf numFmtId="0" fontId="50" fillId="0" borderId="0" xfId="0" applyFont="1"/>
    <xf numFmtId="14" fontId="27" fillId="0" borderId="22" xfId="0" applyNumberFormat="1" applyFont="1" applyBorder="1" applyAlignment="1">
      <alignment horizontal="center"/>
    </xf>
    <xf numFmtId="0" fontId="27" fillId="0" borderId="22" xfId="0" applyFont="1" applyBorder="1" applyAlignment="1">
      <alignment horizontal="center"/>
    </xf>
    <xf numFmtId="0" fontId="28" fillId="0" borderId="22" xfId="0" applyFont="1" applyBorder="1" applyAlignment="1">
      <alignment horizontal="center" wrapText="1"/>
    </xf>
    <xf numFmtId="168" fontId="32" fillId="0" borderId="0" xfId="0" applyNumberFormat="1" applyFont="1" applyAlignment="1">
      <alignment horizontal="left" vertical="center"/>
    </xf>
    <xf numFmtId="0" fontId="18" fillId="0" borderId="0" xfId="0" applyFont="1"/>
    <xf numFmtId="167" fontId="27" fillId="0" borderId="0" xfId="0" applyNumberFormat="1" applyFont="1"/>
    <xf numFmtId="0" fontId="18" fillId="0" borderId="0" xfId="0" applyFont="1" applyAlignment="1">
      <alignment horizontal="left" vertical="center"/>
    </xf>
    <xf numFmtId="0" fontId="18" fillId="0" borderId="0" xfId="0" quotePrefix="1" applyFont="1"/>
    <xf numFmtId="14" fontId="18" fillId="0" borderId="0" xfId="0" applyNumberFormat="1" applyFont="1"/>
    <xf numFmtId="0" fontId="17" fillId="0" borderId="0" xfId="0" applyFont="1" applyAlignment="1">
      <alignment horizontal="left" vertical="center"/>
    </xf>
    <xf numFmtId="0" fontId="16" fillId="0" borderId="0" xfId="0" applyFont="1"/>
    <xf numFmtId="0" fontId="27" fillId="5" borderId="0" xfId="0" applyFont="1" applyFill="1" applyAlignment="1">
      <alignment horizontal="center" vertical="center"/>
    </xf>
    <xf numFmtId="0" fontId="52" fillId="0" borderId="0" xfId="0" applyFont="1"/>
    <xf numFmtId="0" fontId="15" fillId="0" borderId="0" xfId="0" applyFont="1"/>
    <xf numFmtId="169" fontId="53" fillId="0" borderId="24" xfId="0" applyNumberFormat="1" applyFont="1" applyBorder="1"/>
    <xf numFmtId="0" fontId="14" fillId="0" borderId="0" xfId="0" applyFont="1" applyAlignment="1">
      <alignment horizontal="left" vertical="center"/>
    </xf>
    <xf numFmtId="0" fontId="27" fillId="0" borderId="0" xfId="0" applyFont="1" applyAlignment="1">
      <alignment vertical="center"/>
    </xf>
    <xf numFmtId="0" fontId="22" fillId="5" borderId="0" xfId="0" applyFont="1" applyFill="1" applyAlignment="1">
      <alignment horizontal="center" vertical="center"/>
    </xf>
    <xf numFmtId="0" fontId="27" fillId="10" borderId="0" xfId="0" applyFont="1" applyFill="1" applyAlignment="1">
      <alignment horizontal="center" vertical="center"/>
    </xf>
    <xf numFmtId="0" fontId="22" fillId="10" borderId="0" xfId="0" applyFont="1" applyFill="1" applyAlignment="1">
      <alignment horizontal="center" vertical="center" wrapText="1"/>
    </xf>
    <xf numFmtId="0" fontId="27" fillId="10" borderId="0" xfId="0" applyFont="1" applyFill="1" applyAlignment="1">
      <alignment horizontal="center" vertical="center" wrapText="1"/>
    </xf>
    <xf numFmtId="0" fontId="22" fillId="10" borderId="0" xfId="0" applyFont="1" applyFill="1" applyAlignment="1">
      <alignment horizontal="center" vertical="center"/>
    </xf>
    <xf numFmtId="0" fontId="27" fillId="11" borderId="0" xfId="0" applyFont="1" applyFill="1" applyAlignment="1">
      <alignment horizontal="center" vertical="center"/>
    </xf>
    <xf numFmtId="0" fontId="22" fillId="11" borderId="0" xfId="0" applyFont="1" applyFill="1" applyAlignment="1">
      <alignment horizontal="center" vertical="center"/>
    </xf>
    <xf numFmtId="0" fontId="27" fillId="12" borderId="0" xfId="0" applyFont="1" applyFill="1" applyAlignment="1">
      <alignment horizontal="center" vertical="center"/>
    </xf>
    <xf numFmtId="0" fontId="22" fillId="12" borderId="0" xfId="0" applyFont="1" applyFill="1" applyAlignment="1">
      <alignment horizontal="center" vertical="center"/>
    </xf>
    <xf numFmtId="0" fontId="14" fillId="0" borderId="0" xfId="0" applyFont="1"/>
    <xf numFmtId="0" fontId="13" fillId="0" borderId="0" xfId="0" applyFont="1"/>
    <xf numFmtId="0" fontId="12" fillId="0" borderId="0" xfId="0" applyFont="1"/>
    <xf numFmtId="0" fontId="12" fillId="0" borderId="0" xfId="0" applyFont="1" applyAlignment="1">
      <alignment vertical="center" wrapText="1"/>
    </xf>
    <xf numFmtId="0" fontId="12" fillId="0" borderId="0" xfId="0" applyFont="1" applyAlignment="1">
      <alignment horizontal="left" vertical="center"/>
    </xf>
    <xf numFmtId="0" fontId="12" fillId="0" borderId="0" xfId="0" applyFont="1" applyAlignment="1">
      <alignment horizontal="left" vertical="center" wrapText="1"/>
    </xf>
    <xf numFmtId="166" fontId="27" fillId="0" borderId="0" xfId="1" applyFont="1"/>
    <xf numFmtId="0" fontId="11" fillId="0" borderId="0" xfId="0" applyFont="1" applyAlignment="1">
      <alignment horizontal="left" vertical="top" wrapText="1"/>
    </xf>
    <xf numFmtId="0" fontId="11" fillId="0" borderId="0" xfId="0" applyFont="1"/>
    <xf numFmtId="165" fontId="27" fillId="0" borderId="0" xfId="0" applyNumberFormat="1" applyFont="1"/>
    <xf numFmtId="0" fontId="11" fillId="0" borderId="0" xfId="0" applyFont="1" applyAlignment="1">
      <alignment horizontal="left" vertical="center" wrapText="1"/>
    </xf>
    <xf numFmtId="0" fontId="10" fillId="0" borderId="0" xfId="0" applyFont="1"/>
    <xf numFmtId="0" fontId="10" fillId="0" borderId="0" xfId="0" applyFont="1" applyAlignment="1">
      <alignment vertical="center" wrapText="1"/>
    </xf>
    <xf numFmtId="0" fontId="54" fillId="0" borderId="0" xfId="0" applyFont="1" applyAlignment="1">
      <alignment horizontal="right"/>
    </xf>
    <xf numFmtId="0" fontId="27" fillId="0" borderId="24" xfId="0" applyFont="1" applyBorder="1" applyAlignment="1">
      <alignment horizontal="right"/>
    </xf>
    <xf numFmtId="0" fontId="27" fillId="0" borderId="24" xfId="0" applyFont="1" applyBorder="1"/>
    <xf numFmtId="0" fontId="55" fillId="0" borderId="0" xfId="0" applyFont="1"/>
    <xf numFmtId="0" fontId="56" fillId="0" borderId="0" xfId="0" applyFont="1"/>
    <xf numFmtId="0" fontId="9" fillId="0" borderId="0" xfId="0" applyFont="1" applyAlignment="1">
      <alignment horizontal="left" vertical="top" wrapText="1"/>
    </xf>
    <xf numFmtId="0" fontId="9" fillId="0" borderId="0" xfId="0" applyFont="1" applyAlignment="1">
      <alignment vertical="center"/>
    </xf>
    <xf numFmtId="0" fontId="8" fillId="0" borderId="3" xfId="0" applyFont="1" applyBorder="1"/>
    <xf numFmtId="0" fontId="8" fillId="0" borderId="0" xfId="0" applyFont="1"/>
    <xf numFmtId="0" fontId="58" fillId="0" borderId="22" xfId="2" applyFont="1" applyBorder="1" applyAlignment="1">
      <alignment horizontal="center" vertical="top" wrapText="1"/>
    </xf>
    <xf numFmtId="0" fontId="58" fillId="0" borderId="22" xfId="2" applyFont="1" applyBorder="1" applyAlignment="1">
      <alignment horizontal="left" vertical="top" wrapText="1"/>
    </xf>
    <xf numFmtId="0" fontId="42" fillId="6" borderId="22" xfId="0" applyFont="1" applyFill="1" applyBorder="1" applyAlignment="1">
      <alignment horizontal="center" vertical="center" wrapText="1"/>
    </xf>
    <xf numFmtId="0" fontId="7" fillId="0" borderId="0" xfId="0" applyFont="1" applyAlignment="1">
      <alignment vertical="center" wrapText="1"/>
    </xf>
    <xf numFmtId="0" fontId="46" fillId="0" borderId="0" xfId="0" applyFont="1" applyAlignment="1">
      <alignment wrapText="1"/>
    </xf>
    <xf numFmtId="0" fontId="35" fillId="0" borderId="0" xfId="0" applyFont="1" applyAlignment="1">
      <alignment wrapText="1"/>
    </xf>
    <xf numFmtId="0" fontId="38" fillId="0" borderId="0" xfId="0" applyFont="1" applyAlignment="1">
      <alignment wrapText="1"/>
    </xf>
    <xf numFmtId="0" fontId="42" fillId="0" borderId="0" xfId="0" applyFont="1" applyAlignment="1">
      <alignment wrapText="1"/>
    </xf>
    <xf numFmtId="0" fontId="6" fillId="0" borderId="0" xfId="0" applyFont="1"/>
    <xf numFmtId="0" fontId="6" fillId="0" borderId="0" xfId="0" applyFont="1" applyAlignment="1">
      <alignment vertical="center" wrapText="1"/>
    </xf>
    <xf numFmtId="0" fontId="6" fillId="0" borderId="0" xfId="0" applyFont="1" applyAlignment="1">
      <alignment horizontal="left" vertical="top" wrapText="1"/>
    </xf>
    <xf numFmtId="0" fontId="6" fillId="0" borderId="0" xfId="0" applyFont="1" applyAlignment="1">
      <alignment vertical="top" wrapText="1"/>
    </xf>
    <xf numFmtId="0" fontId="5" fillId="0" borderId="0" xfId="0" applyFont="1"/>
    <xf numFmtId="0" fontId="5" fillId="0" borderId="0" xfId="0" applyFont="1" applyAlignment="1">
      <alignment vertical="center" wrapText="1"/>
    </xf>
    <xf numFmtId="0" fontId="5" fillId="0" borderId="0" xfId="0" applyFont="1" applyAlignment="1">
      <alignment horizontal="left" vertical="top" wrapText="1"/>
    </xf>
    <xf numFmtId="0" fontId="5" fillId="0" borderId="0" xfId="0" applyFont="1" applyAlignment="1">
      <alignment vertical="top" wrapText="1"/>
    </xf>
    <xf numFmtId="0" fontId="5" fillId="0" borderId="0" xfId="0" applyFont="1" applyAlignment="1">
      <alignment horizontal="left" vertical="center" wrapText="1"/>
    </xf>
    <xf numFmtId="164" fontId="27" fillId="0" borderId="0" xfId="0" applyNumberFormat="1" applyFont="1"/>
    <xf numFmtId="0" fontId="4" fillId="0" borderId="0" xfId="0" applyFont="1" applyAlignment="1">
      <alignment horizontal="left" vertical="top" wrapText="1"/>
    </xf>
    <xf numFmtId="166" fontId="28" fillId="0" borderId="0" xfId="1" applyFont="1" applyFill="1" applyBorder="1" applyAlignment="1">
      <alignment vertical="top" wrapText="1"/>
    </xf>
    <xf numFmtId="0" fontId="3" fillId="0" borderId="0" xfId="0" applyFont="1" applyAlignment="1">
      <alignment vertical="center" wrapText="1"/>
    </xf>
    <xf numFmtId="0" fontId="3" fillId="0" borderId="0" xfId="0" applyFont="1" applyAlignment="1">
      <alignment horizontal="left" vertical="center" wrapText="1"/>
    </xf>
    <xf numFmtId="0" fontId="3" fillId="0" borderId="0" xfId="0" applyFont="1"/>
    <xf numFmtId="0" fontId="35" fillId="0" borderId="3" xfId="0" applyFont="1" applyBorder="1"/>
    <xf numFmtId="0" fontId="35" fillId="0" borderId="3" xfId="0" applyFont="1" applyBorder="1" applyAlignment="1">
      <alignment vertical="top"/>
    </xf>
    <xf numFmtId="0" fontId="3" fillId="0" borderId="0" xfId="0" applyFont="1" applyAlignment="1">
      <alignment vertical="top" wrapText="1"/>
    </xf>
    <xf numFmtId="0" fontId="3" fillId="0" borderId="0" xfId="0" applyFont="1" applyAlignment="1">
      <alignment horizontal="left" vertical="top" wrapText="1"/>
    </xf>
    <xf numFmtId="0" fontId="2" fillId="0" borderId="0" xfId="0" applyFont="1" applyAlignment="1">
      <alignment vertical="center" wrapText="1"/>
    </xf>
    <xf numFmtId="0" fontId="2" fillId="0" borderId="0" xfId="0" applyFont="1" applyAlignment="1">
      <alignment wrapText="1"/>
    </xf>
    <xf numFmtId="169" fontId="2" fillId="0" borderId="0" xfId="0" applyNumberFormat="1" applyFont="1"/>
    <xf numFmtId="49" fontId="28" fillId="0" borderId="0" xfId="0" applyNumberFormat="1" applyFont="1" applyAlignment="1">
      <alignment vertical="top" wrapText="1"/>
    </xf>
    <xf numFmtId="0" fontId="28" fillId="0" borderId="0" xfId="0" applyFont="1" applyAlignment="1">
      <alignment vertical="top" wrapText="1"/>
    </xf>
    <xf numFmtId="49" fontId="42" fillId="0" borderId="22" xfId="0" applyNumberFormat="1" applyFont="1" applyBorder="1" applyAlignment="1">
      <alignment horizontal="center" vertical="center" wrapText="1"/>
    </xf>
    <xf numFmtId="169" fontId="28" fillId="0" borderId="22" xfId="1" applyNumberFormat="1" applyFont="1" applyFill="1" applyBorder="1" applyAlignment="1">
      <alignment horizontal="right" vertical="center" wrapText="1"/>
    </xf>
    <xf numFmtId="0" fontId="42" fillId="0" borderId="22" xfId="0" applyFont="1" applyBorder="1" applyAlignment="1">
      <alignment horizontal="center" vertical="center"/>
    </xf>
    <xf numFmtId="169" fontId="28" fillId="0" borderId="22" xfId="1" applyNumberFormat="1" applyFont="1" applyFill="1" applyBorder="1" applyAlignment="1">
      <alignment horizontal="right" vertical="center"/>
    </xf>
    <xf numFmtId="0" fontId="32" fillId="0" borderId="0" xfId="0" applyFont="1" applyAlignment="1">
      <alignment horizontal="center"/>
    </xf>
    <xf numFmtId="0" fontId="30" fillId="0" borderId="0" xfId="0" applyFont="1" applyAlignment="1">
      <alignment horizontal="center"/>
    </xf>
    <xf numFmtId="0" fontId="31" fillId="0" borderId="0" xfId="0" applyFont="1" applyAlignment="1">
      <alignment horizontal="center"/>
    </xf>
    <xf numFmtId="168" fontId="32" fillId="0" borderId="0" xfId="0" applyNumberFormat="1" applyFont="1" applyAlignment="1">
      <alignment horizontal="left" vertical="center"/>
    </xf>
    <xf numFmtId="0" fontId="27" fillId="10" borderId="0" xfId="0" applyFont="1" applyFill="1" applyAlignment="1">
      <alignment horizontal="center" vertical="center" wrapText="1"/>
    </xf>
    <xf numFmtId="0" fontId="27" fillId="8" borderId="0" xfId="0" applyFont="1" applyFill="1" applyAlignment="1">
      <alignment horizontal="center" vertical="center" wrapText="1"/>
    </xf>
    <xf numFmtId="0" fontId="22" fillId="10" borderId="0" xfId="0" applyFont="1" applyFill="1" applyAlignment="1">
      <alignment horizontal="center" vertical="center" wrapText="1"/>
    </xf>
    <xf numFmtId="0" fontId="22" fillId="5" borderId="0" xfId="0" applyFont="1" applyFill="1" applyAlignment="1">
      <alignment horizontal="center" vertical="center" wrapText="1"/>
    </xf>
    <xf numFmtId="0" fontId="27" fillId="5" borderId="0" xfId="0" applyFont="1" applyFill="1" applyAlignment="1">
      <alignment horizontal="center" vertical="center" wrapText="1"/>
    </xf>
    <xf numFmtId="0" fontId="22" fillId="8" borderId="0" xfId="0" applyFont="1" applyFill="1" applyAlignment="1">
      <alignment horizontal="center" vertical="center" wrapText="1"/>
    </xf>
    <xf numFmtId="0" fontId="27" fillId="8" borderId="0" xfId="0" applyFont="1" applyFill="1" applyAlignment="1">
      <alignment horizontal="center" vertical="center"/>
    </xf>
    <xf numFmtId="0" fontId="19" fillId="8" borderId="0" xfId="0" applyFont="1" applyFill="1" applyAlignment="1">
      <alignment horizontal="center" vertical="center" wrapText="1"/>
    </xf>
    <xf numFmtId="0" fontId="27" fillId="10" borderId="0" xfId="0" applyFont="1" applyFill="1" applyAlignment="1">
      <alignment horizontal="center" vertical="center"/>
    </xf>
    <xf numFmtId="0" fontId="19" fillId="10" borderId="0" xfId="0" applyFont="1" applyFill="1" applyAlignment="1">
      <alignment horizontal="center" vertical="center" wrapText="1"/>
    </xf>
    <xf numFmtId="0" fontId="27" fillId="5" borderId="0" xfId="0" applyFont="1" applyFill="1" applyAlignment="1">
      <alignment horizontal="center" vertical="center"/>
    </xf>
    <xf numFmtId="0" fontId="19" fillId="5" borderId="0" xfId="0" applyFont="1" applyFill="1" applyAlignment="1">
      <alignment horizontal="center" vertical="center" wrapText="1"/>
    </xf>
    <xf numFmtId="0" fontId="19" fillId="10" borderId="0" xfId="0" applyFont="1" applyFill="1" applyAlignment="1">
      <alignment horizontal="center" vertical="center"/>
    </xf>
    <xf numFmtId="0" fontId="22" fillId="10" borderId="0" xfId="0" applyFont="1" applyFill="1" applyAlignment="1">
      <alignment horizontal="center" vertical="center"/>
    </xf>
    <xf numFmtId="0" fontId="19" fillId="5" borderId="0" xfId="0" applyFont="1" applyFill="1" applyAlignment="1">
      <alignment horizontal="center" vertical="center"/>
    </xf>
    <xf numFmtId="0" fontId="22" fillId="5" borderId="0" xfId="0" applyFont="1" applyFill="1" applyAlignment="1">
      <alignment horizontal="center" vertical="center"/>
    </xf>
    <xf numFmtId="0" fontId="27" fillId="11" borderId="0" xfId="0" applyFont="1" applyFill="1" applyAlignment="1">
      <alignment horizontal="center" vertical="center"/>
    </xf>
    <xf numFmtId="0" fontId="27" fillId="12" borderId="0" xfId="0" applyFont="1" applyFill="1" applyAlignment="1">
      <alignment horizontal="center" vertical="center"/>
    </xf>
    <xf numFmtId="0" fontId="19" fillId="12" borderId="0" xfId="0" applyFont="1" applyFill="1" applyAlignment="1">
      <alignment horizontal="center" vertical="center"/>
    </xf>
    <xf numFmtId="0" fontId="22" fillId="12" borderId="0" xfId="0" applyFont="1" applyFill="1" applyAlignment="1">
      <alignment horizontal="center" vertical="center"/>
    </xf>
    <xf numFmtId="0" fontId="19" fillId="11" borderId="0" xfId="0" applyFont="1" applyFill="1" applyAlignment="1">
      <alignment horizontal="center" vertical="center"/>
    </xf>
    <xf numFmtId="0" fontId="22" fillId="11" borderId="0" xfId="0" applyFont="1" applyFill="1" applyAlignment="1">
      <alignment horizontal="center" vertical="center"/>
    </xf>
    <xf numFmtId="0" fontId="22" fillId="0" borderId="0" xfId="0" applyFont="1" applyAlignment="1">
      <alignment horizontal="left"/>
    </xf>
    <xf numFmtId="0" fontId="29" fillId="0" borderId="0" xfId="0" applyFont="1" applyAlignment="1">
      <alignment horizontal="left"/>
    </xf>
    <xf numFmtId="0" fontId="21" fillId="0" borderId="0" xfId="0" applyFont="1" applyAlignment="1">
      <alignment horizontal="left" vertical="top" wrapText="1"/>
    </xf>
    <xf numFmtId="0" fontId="21" fillId="0" borderId="0" xfId="0" applyFont="1" applyAlignment="1">
      <alignment horizontal="left" vertical="center" wrapText="1"/>
    </xf>
    <xf numFmtId="0" fontId="8" fillId="0" borderId="0" xfId="0" applyFont="1" applyAlignment="1">
      <alignment horizontal="left" vertical="top" wrapText="1"/>
    </xf>
    <xf numFmtId="0" fontId="3" fillId="0" borderId="0" xfId="0" applyFont="1" applyAlignment="1">
      <alignment horizontal="left" vertical="center" wrapText="1"/>
    </xf>
    <xf numFmtId="0" fontId="12" fillId="0" borderId="0" xfId="0" applyFont="1" applyAlignment="1">
      <alignment vertical="center" wrapText="1"/>
    </xf>
    <xf numFmtId="14" fontId="18" fillId="0" borderId="0" xfId="0" applyNumberFormat="1" applyFont="1" applyAlignment="1">
      <alignment horizontal="left"/>
    </xf>
    <xf numFmtId="0" fontId="22" fillId="0" borderId="0" xfId="0" applyFont="1" applyAlignment="1">
      <alignment horizontal="left" vertical="center" wrapText="1"/>
    </xf>
    <xf numFmtId="0" fontId="22" fillId="0" borderId="0" xfId="0" applyFont="1" applyAlignment="1">
      <alignment horizontal="left" vertical="top" wrapText="1"/>
    </xf>
    <xf numFmtId="0" fontId="2" fillId="0" borderId="0" xfId="0" applyFont="1" applyAlignment="1">
      <alignment vertical="top" wrapText="1"/>
    </xf>
    <xf numFmtId="0" fontId="2" fillId="0" borderId="0" xfId="0" applyFont="1" applyAlignment="1">
      <alignment horizontal="left" vertical="top" wrapText="1"/>
    </xf>
    <xf numFmtId="0" fontId="29" fillId="0" borderId="0" xfId="0" applyFont="1" applyAlignment="1">
      <alignment horizontal="left" vertical="center" wrapText="1"/>
    </xf>
    <xf numFmtId="0" fontId="46" fillId="0" borderId="0" xfId="0" applyFont="1" applyAlignment="1">
      <alignment vertical="center" wrapText="1"/>
    </xf>
    <xf numFmtId="0" fontId="35" fillId="0" borderId="0" xfId="0" applyFont="1" applyAlignment="1">
      <alignment vertical="center" wrapText="1"/>
    </xf>
    <xf numFmtId="0" fontId="38"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wrapText="1"/>
    </xf>
    <xf numFmtId="0" fontId="29" fillId="0" borderId="0" xfId="0" applyFont="1" applyAlignment="1">
      <alignment horizontal="left" vertical="top" wrapText="1"/>
    </xf>
    <xf numFmtId="0" fontId="23" fillId="0" borderId="0" xfId="0" applyFont="1" applyAlignment="1">
      <alignment horizontal="left" vertical="top" wrapText="1"/>
    </xf>
    <xf numFmtId="0" fontId="24" fillId="0" borderId="0" xfId="0" applyFont="1" applyAlignment="1">
      <alignment horizontal="left" vertical="center"/>
    </xf>
    <xf numFmtId="0" fontId="29" fillId="0" borderId="0" xfId="0" applyFont="1" applyAlignment="1">
      <alignment horizontal="left" vertical="center"/>
    </xf>
    <xf numFmtId="0" fontId="42" fillId="0" borderId="8" xfId="0" applyFont="1" applyBorder="1" applyAlignment="1">
      <alignment vertical="top" wrapText="1"/>
    </xf>
    <xf numFmtId="0" fontId="42" fillId="0" borderId="9" xfId="0" applyFont="1" applyBorder="1" applyAlignment="1">
      <alignment vertical="top" wrapText="1"/>
    </xf>
    <xf numFmtId="0" fontId="42" fillId="0" borderId="10" xfId="0" applyFont="1" applyBorder="1" applyAlignment="1">
      <alignment vertical="top" wrapText="1"/>
    </xf>
    <xf numFmtId="0" fontId="28" fillId="0" borderId="13" xfId="0" applyFont="1" applyBorder="1" applyAlignment="1">
      <alignment horizontal="left" vertical="top" wrapText="1"/>
    </xf>
    <xf numFmtId="0" fontId="28" fillId="0" borderId="27" xfId="0" applyFont="1" applyBorder="1" applyAlignment="1">
      <alignment horizontal="left" vertical="top" wrapText="1"/>
    </xf>
    <xf numFmtId="166" fontId="28" fillId="0" borderId="12" xfId="1" applyFont="1" applyBorder="1" applyAlignment="1">
      <alignment horizontal="left" vertical="top" wrapText="1"/>
    </xf>
    <xf numFmtId="166" fontId="28" fillId="0" borderId="26" xfId="1" applyFont="1" applyBorder="1" applyAlignment="1">
      <alignment horizontal="left" vertical="top" wrapText="1"/>
    </xf>
    <xf numFmtId="0" fontId="28" fillId="0" borderId="12" xfId="0" applyFont="1" applyBorder="1" applyAlignment="1">
      <alignment horizontal="left" vertical="top" wrapText="1"/>
    </xf>
    <xf numFmtId="0" fontId="28" fillId="0" borderId="26" xfId="0" applyFont="1" applyBorder="1" applyAlignment="1">
      <alignment horizontal="left" vertical="top" wrapText="1"/>
    </xf>
    <xf numFmtId="49" fontId="28" fillId="0" borderId="12" xfId="0" applyNumberFormat="1" applyFont="1" applyBorder="1" applyAlignment="1">
      <alignment horizontal="left" vertical="top" wrapText="1"/>
    </xf>
    <xf numFmtId="49" fontId="28" fillId="0" borderId="26" xfId="0" applyNumberFormat="1" applyFont="1" applyBorder="1" applyAlignment="1">
      <alignment horizontal="left" vertical="top" wrapText="1"/>
    </xf>
    <xf numFmtId="49" fontId="28" fillId="0" borderId="11" xfId="0" applyNumberFormat="1" applyFont="1" applyBorder="1" applyAlignment="1">
      <alignment horizontal="left" vertical="top" wrapText="1"/>
    </xf>
    <xf numFmtId="49" fontId="28" fillId="0" borderId="25" xfId="0" applyNumberFormat="1" applyFont="1" applyBorder="1" applyAlignment="1">
      <alignment horizontal="left" vertical="top" wrapText="1"/>
    </xf>
    <xf numFmtId="0" fontId="43" fillId="2" borderId="28" xfId="0" applyFont="1" applyFill="1" applyBorder="1" applyAlignment="1">
      <alignment horizontal="left" vertical="center" wrapText="1"/>
    </xf>
    <xf numFmtId="0" fontId="43" fillId="2" borderId="29" xfId="0" applyFont="1" applyFill="1" applyBorder="1" applyAlignment="1">
      <alignment horizontal="left" vertical="center" wrapText="1"/>
    </xf>
    <xf numFmtId="0" fontId="43" fillId="2" borderId="30" xfId="0" applyFont="1" applyFill="1" applyBorder="1" applyAlignment="1">
      <alignment horizontal="left" vertical="center" wrapText="1"/>
    </xf>
    <xf numFmtId="0" fontId="22" fillId="0" borderId="0" xfId="0" applyFont="1" applyAlignment="1">
      <alignment horizontal="left" vertical="center"/>
    </xf>
    <xf numFmtId="0" fontId="45" fillId="0" borderId="0" xfId="0" applyFont="1" applyAlignment="1">
      <alignment horizontal="left" vertical="center"/>
    </xf>
    <xf numFmtId="0" fontId="45" fillId="0" borderId="0" xfId="0" applyFont="1" applyAlignment="1">
      <alignment horizontal="center" vertical="center" wrapText="1"/>
    </xf>
    <xf numFmtId="0" fontId="34" fillId="0" borderId="0" xfId="0" applyFont="1" applyAlignment="1">
      <alignment horizontal="left" vertical="center"/>
    </xf>
    <xf numFmtId="0" fontId="45" fillId="0" borderId="0" xfId="0" applyFont="1" applyAlignment="1">
      <alignment horizontal="left" vertical="center" wrapText="1"/>
    </xf>
    <xf numFmtId="0" fontId="43" fillId="4" borderId="22" xfId="2" applyFont="1" applyFill="1" applyBorder="1" applyAlignment="1">
      <alignment horizontal="center" vertical="center" wrapText="1"/>
    </xf>
    <xf numFmtId="0" fontId="0" fillId="0" borderId="0" xfId="0" applyAlignment="1"/>
    <xf numFmtId="0" fontId="27" fillId="0" borderId="0" xfId="0" applyFont="1" applyAlignment="1"/>
    <xf numFmtId="165" fontId="0" fillId="0" borderId="0" xfId="0" applyNumberFormat="1" applyAlignment="1"/>
    <xf numFmtId="0" fontId="35" fillId="0" borderId="0" xfId="0" applyFont="1" applyBorder="1"/>
    <xf numFmtId="0" fontId="22" fillId="0" borderId="0" xfId="0" applyFont="1" applyBorder="1"/>
    <xf numFmtId="0" fontId="35" fillId="0" borderId="0" xfId="0" applyFont="1" applyBorder="1" applyAlignment="1">
      <alignment vertical="top"/>
    </xf>
  </cellXfs>
  <cellStyles count="3">
    <cellStyle name="Currency" xfId="1" builtinId="4"/>
    <cellStyle name="Normal" xfId="0" builtinId="0"/>
    <cellStyle name="Normal 2" xfId="2" xr:uid="{DE2FB65F-1B67-4198-B467-632A92B46656}"/>
  </cellStyles>
  <dxfs count="3">
    <dxf>
      <font>
        <b/>
        <i val="0"/>
        <color rgb="FFFF0000"/>
      </font>
    </dxf>
    <dxf>
      <fill>
        <patternFill>
          <bgColor rgb="FF92D050"/>
        </patternFill>
      </fill>
    </dxf>
    <dxf>
      <fill>
        <patternFill>
          <bgColor rgb="FF92D050"/>
        </patternFill>
      </fill>
    </dxf>
  </dxfs>
  <tableStyles count="0" defaultTableStyle="TableStyleMedium2" defaultPivotStyle="PivotStyleLight16"/>
  <colors>
    <mruColors>
      <color rgb="FFFF6699"/>
      <color rgb="FFFFFF99"/>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customXml" Target="../ink/ink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customXml" Target="../ink/ink2.xml"/></Relationships>
</file>

<file path=xl/drawings/_rels/drawing7.xml.rels><?xml version="1.0" encoding="UTF-8" standalone="yes"?>
<Relationships xmlns="http://schemas.openxmlformats.org/package/2006/relationships"><Relationship Id="rId13" Type="http://schemas.openxmlformats.org/officeDocument/2006/relationships/image" Target="file:///C:\Users\sh917\OneDrive\Pictures\Inspection%20Photos\SW1P%204BE.%20Coral%20Macbride\1.%20Bathroom\20260902_124524177_iOS.jpg" TargetMode="External"/><Relationship Id="rId18" Type="http://schemas.openxmlformats.org/officeDocument/2006/relationships/image" Target="file:///C:\Users\sh917\OneDrive\Pictures\Inspection%20Photos\SW1P%204BE.%20Coral%20Macbride\1.%20Bathroom\20260902_124601866_iOS.jpg" TargetMode="External"/><Relationship Id="rId26" Type="http://schemas.openxmlformats.org/officeDocument/2006/relationships/image" Target="file:///C:\Users\sh917\OneDrive\Pictures\Inspection%20Photos\SW1P%204BE.%20Coral%20Macbride\2.%20Kitchen\20260902_124849598_iOS.jpg" TargetMode="External"/><Relationship Id="rId39" Type="http://schemas.openxmlformats.org/officeDocument/2006/relationships/image" Target="file:///C:\Users\sh917\OneDrive\Pictures\Inspection%20Photos\SW1P%204BE.%20Coral%20Macbride\3.%20Additional%20Claim%20Item\20260902_125141274_iOS.jpg" TargetMode="External"/><Relationship Id="rId21" Type="http://schemas.openxmlformats.org/officeDocument/2006/relationships/image" Target="file:///C:\Users\sh917\OneDrive\Pictures\Inspection%20Photos\SW1P%204BE.%20Coral%20Macbride\1.%20Bathroom\20260902_124636128_iOS.jpg" TargetMode="External"/><Relationship Id="rId34" Type="http://schemas.openxmlformats.org/officeDocument/2006/relationships/image" Target="file:///C:\Users\sh917\OneDrive\Pictures\Inspection%20Photos\SW1P%204BE.%20Coral%20Macbride\3.%20Additional%20Claim%20Item\20260902_124923112_iOS.jpg" TargetMode="External"/><Relationship Id="rId7" Type="http://schemas.openxmlformats.org/officeDocument/2006/relationships/image" Target="file:///C:\Users\sh917\OneDrive\Pictures\Inspection%20Photos\SW1P%204BE.%20Coral%20Macbride\1.%20Bathroom\20260902_124419073_iOS.jpg" TargetMode="External"/><Relationship Id="rId2" Type="http://schemas.openxmlformats.org/officeDocument/2006/relationships/image" Target="file:///C:\Users\sh917\OneDrive\Pictures\Inspection%20Photos\SW1P%204BE.%20Coral%20Macbride\1.%20Bathroom\20260902_124407991_iOS.jpg" TargetMode="External"/><Relationship Id="rId16" Type="http://schemas.openxmlformats.org/officeDocument/2006/relationships/image" Target="file:///C:\Users\sh917\OneDrive\Pictures\Inspection%20Photos\SW1P%204BE.%20Coral%20Macbride\1.%20Bathroom\20260902_124543134_iOS.jpg" TargetMode="External"/><Relationship Id="rId20" Type="http://schemas.openxmlformats.org/officeDocument/2006/relationships/image" Target="file:///C:\Users\sh917\OneDrive\Pictures\Inspection%20Photos\SW1P%204BE.%20Coral%20Macbride\1.%20Bathroom\20260902_124613319_iOS.jpg" TargetMode="External"/><Relationship Id="rId29" Type="http://schemas.openxmlformats.org/officeDocument/2006/relationships/image" Target="file:///C:\Users\sh917\OneDrive\Pictures\Inspection%20Photos\SW1P%204BE.%20Coral%20Macbride\2.%20Kitchen\20260902_125019005_iOS.jpg" TargetMode="External"/><Relationship Id="rId41" Type="http://schemas.openxmlformats.org/officeDocument/2006/relationships/image" Target="file:///C:\Users\sh917\OneDrive\Pictures\Inspection%20Photos\SW1P%204BE.%20Coral%20Macbride\3.%20Additional%20Claim%20Item\20260902_125148890_iOS.jpg" TargetMode="External"/><Relationship Id="rId1" Type="http://schemas.openxmlformats.org/officeDocument/2006/relationships/image" Target="file:///C:\Users\sh917\OneDrive\Pictures\Inspection%20Photos\SW1P%204BE.%20Coral%20Macbride\1.%20Bathroom\20260902_124406682_iOS.jpg" TargetMode="External"/><Relationship Id="rId6" Type="http://schemas.openxmlformats.org/officeDocument/2006/relationships/image" Target="file:///C:\Users\sh917\OneDrive\Pictures\Inspection%20Photos\SW1P%204BE.%20Coral%20Macbride\1.%20Bathroom\20260902_124417158_iOS.jpg" TargetMode="External"/><Relationship Id="rId11" Type="http://schemas.openxmlformats.org/officeDocument/2006/relationships/image" Target="file:///C:\Users\sh917\OneDrive\Pictures\Inspection%20Photos\SW1P%204BE.%20Coral%20Macbride\1.%20Bathroom\20260902_124501813_iOS.jpg" TargetMode="External"/><Relationship Id="rId24" Type="http://schemas.openxmlformats.org/officeDocument/2006/relationships/image" Target="file:///C:\Users\sh917\OneDrive\Pictures\Inspection%20Photos\SW1P%204BE.%20Coral%20Macbride\1.%20Bathroom\20260902_124814098_iOS.jpg" TargetMode="External"/><Relationship Id="rId32" Type="http://schemas.openxmlformats.org/officeDocument/2006/relationships/image" Target="file:///C:\Users\sh917\OneDrive\Pictures\Inspection%20Photos\SW1P%204BE.%20Coral%20Macbride\3.%20Additional%20Claim%20Item\20260902_124854828_iOS.jpg" TargetMode="External"/><Relationship Id="rId37" Type="http://schemas.openxmlformats.org/officeDocument/2006/relationships/image" Target="file:///C:\Users\sh917\OneDrive\Pictures\Inspection%20Photos\SW1P%204BE.%20Coral%20Macbride\3.%20Additional%20Claim%20Item\20260902_125129991_iOS.jpg" TargetMode="External"/><Relationship Id="rId40" Type="http://schemas.openxmlformats.org/officeDocument/2006/relationships/image" Target="file:///C:\Users\sh917\OneDrive\Pictures\Inspection%20Photos\SW1P%204BE.%20Coral%20Macbride\3.%20Additional%20Claim%20Item\20260902_125144792_iOS.jpg" TargetMode="External"/><Relationship Id="rId5" Type="http://schemas.openxmlformats.org/officeDocument/2006/relationships/image" Target="file:///C:\Users\sh917\OneDrive\Pictures\Inspection%20Photos\SW1P%204BE.%20Coral%20Macbride\1.%20Bathroom\20260902_124415391_iOS.jpg" TargetMode="External"/><Relationship Id="rId15" Type="http://schemas.openxmlformats.org/officeDocument/2006/relationships/image" Target="file:///C:\Users\sh917\OneDrive\Pictures\Inspection%20Photos\SW1P%204BE.%20Coral%20Macbride\1.%20Bathroom\20260902_124535792_iOS.jpg" TargetMode="External"/><Relationship Id="rId23" Type="http://schemas.openxmlformats.org/officeDocument/2006/relationships/image" Target="file:///C:\Users\sh917\OneDrive\Pictures\Inspection%20Photos\SW1P%204BE.%20Coral%20Macbride\1.%20Bathroom\20260902_124743128_iOS.jpg" TargetMode="External"/><Relationship Id="rId28" Type="http://schemas.openxmlformats.org/officeDocument/2006/relationships/image" Target="file:///C:\Users\sh917\OneDrive\Pictures\Inspection%20Photos\SW1P%204BE.%20Coral%20Macbride\2.%20Kitchen\20260902_124851944_iOS.jpg" TargetMode="External"/><Relationship Id="rId36" Type="http://schemas.openxmlformats.org/officeDocument/2006/relationships/image" Target="file:///C:\Users\sh917\OneDrive\Pictures\Inspection%20Photos\SW1P%204BE.%20Coral%20Macbride\3.%20Additional%20Claim%20Item\20260902_125006791_iOS.jpg" TargetMode="External"/><Relationship Id="rId10" Type="http://schemas.openxmlformats.org/officeDocument/2006/relationships/image" Target="file:///C:\Users\sh917\OneDrive\Pictures\Inspection%20Photos\SW1P%204BE.%20Coral%20Macbride\1.%20Bathroom\20260902_124456336_iOS.jpg" TargetMode="External"/><Relationship Id="rId19" Type="http://schemas.openxmlformats.org/officeDocument/2006/relationships/image" Target="file:///C:\Users\sh917\OneDrive\Pictures\Inspection%20Photos\SW1P%204BE.%20Coral%20Macbride\1.%20Bathroom\20260902_124607488_iOS.jpg" TargetMode="External"/><Relationship Id="rId31" Type="http://schemas.openxmlformats.org/officeDocument/2006/relationships/image" Target="file:///C:\Users\sh917\OneDrive\Pictures\Inspection%20Photos\SW1P%204BE.%20Coral%20Macbride\2.%20Kitchen\20260902_125038664_iOS.jpg" TargetMode="External"/><Relationship Id="rId4" Type="http://schemas.openxmlformats.org/officeDocument/2006/relationships/image" Target="file:///C:\Users\sh917\OneDrive\Pictures\Inspection%20Photos\SW1P%204BE.%20Coral%20Macbride\1.%20Bathroom\20260902_124413567_iOS.jpg" TargetMode="External"/><Relationship Id="rId9" Type="http://schemas.openxmlformats.org/officeDocument/2006/relationships/image" Target="file:///C:\Users\sh917\OneDrive\Pictures\Inspection%20Photos\SW1P%204BE.%20Coral%20Macbride\1.%20Bathroom\20260902_124423147_iOS.jpg" TargetMode="External"/><Relationship Id="rId14" Type="http://schemas.openxmlformats.org/officeDocument/2006/relationships/image" Target="file:///C:\Users\sh917\OneDrive\Pictures\Inspection%20Photos\SW1P%204BE.%20Coral%20Macbride\1.%20Bathroom\20260902_124526653_iOS.jpg" TargetMode="External"/><Relationship Id="rId22" Type="http://schemas.openxmlformats.org/officeDocument/2006/relationships/image" Target="file:///C:\Users\sh917\OneDrive\Pictures\Inspection%20Photos\SW1P%204BE.%20Coral%20Macbride\1.%20Bathroom\20260902_124719435_iOS.jpg" TargetMode="External"/><Relationship Id="rId27" Type="http://schemas.openxmlformats.org/officeDocument/2006/relationships/image" Target="file:///C:\Users\sh917\OneDrive\Pictures\Inspection%20Photos\SW1P%204BE.%20Coral%20Macbride\2.%20Kitchen\20260902_124850697_iOS.jpg" TargetMode="External"/><Relationship Id="rId30" Type="http://schemas.openxmlformats.org/officeDocument/2006/relationships/image" Target="file:///C:\Users\sh917\OneDrive\Pictures\Inspection%20Photos\SW1P%204BE.%20Coral%20Macbride\2.%20Kitchen\20260902_125035340_iOS.jpg" TargetMode="External"/><Relationship Id="rId35" Type="http://schemas.openxmlformats.org/officeDocument/2006/relationships/image" Target="file:///C:\Users\sh917\OneDrive\Pictures\Inspection%20Photos\SW1P%204BE.%20Coral%20Macbride\3.%20Additional%20Claim%20Item\20260902_124948905_iOS.jpg" TargetMode="External"/><Relationship Id="rId8" Type="http://schemas.openxmlformats.org/officeDocument/2006/relationships/image" Target="file:///C:\Users\sh917\OneDrive\Pictures\Inspection%20Photos\SW1P%204BE.%20Coral%20Macbride\1.%20Bathroom\20260902_124420505_iOS.jpg" TargetMode="External"/><Relationship Id="rId3" Type="http://schemas.openxmlformats.org/officeDocument/2006/relationships/image" Target="file:///C:\Users\sh917\OneDrive\Pictures\Inspection%20Photos\SW1P%204BE.%20Coral%20Macbride\1.%20Bathroom\20260902_124409689_iOS.jpg" TargetMode="External"/><Relationship Id="rId12" Type="http://schemas.openxmlformats.org/officeDocument/2006/relationships/image" Target="file:///C:\Users\sh917\OneDrive\Pictures\Inspection%20Photos\SW1P%204BE.%20Coral%20Macbride\1.%20Bathroom\20260902_124519769_iOS.jpg" TargetMode="External"/><Relationship Id="rId17" Type="http://schemas.openxmlformats.org/officeDocument/2006/relationships/image" Target="file:///C:\Users\sh917\OneDrive\Pictures\Inspection%20Photos\SW1P%204BE.%20Coral%20Macbride\1.%20Bathroom\20260902_124545847_iOS.jpg" TargetMode="External"/><Relationship Id="rId25" Type="http://schemas.openxmlformats.org/officeDocument/2006/relationships/image" Target="file:///C:\Users\sh917\OneDrive\Pictures\Inspection%20Photos\SW1P%204BE.%20Coral%20Macbride\2.%20Kitchen\20260902_124848521_iOS.jpg" TargetMode="External"/><Relationship Id="rId33" Type="http://schemas.openxmlformats.org/officeDocument/2006/relationships/image" Target="file:///C:\Users\sh917\OneDrive\Pictures\Inspection%20Photos\SW1P%204BE.%20Coral%20Macbride\3.%20Additional%20Claim%20Item\20260902_124902008_iOS.jpg" TargetMode="External"/><Relationship Id="rId38" Type="http://schemas.openxmlformats.org/officeDocument/2006/relationships/image" Target="file:///C:\Users\sh917\OneDrive\Pictures\Inspection%20Photos\SW1P%204BE.%20Coral%20Macbride\3.%20Additional%20Claim%20Item\20260902_125134672_iOS.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236220</xdr:colOff>
          <xdr:row>1</xdr:row>
          <xdr:rowOff>45720</xdr:rowOff>
        </xdr:from>
        <xdr:to>
          <xdr:col>7</xdr:col>
          <xdr:colOff>0</xdr:colOff>
          <xdr:row>3</xdr:row>
          <xdr:rowOff>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1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00"/>
                  </a:solidFill>
                  <a:latin typeface="Tahoma"/>
                  <a:ea typeface="Tahoma"/>
                  <a:cs typeface="Tahoma"/>
                </a:rPr>
                <a:t>Produce Folders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999095</xdr:colOff>
      <xdr:row>0</xdr:row>
      <xdr:rowOff>0</xdr:rowOff>
    </xdr:from>
    <xdr:to>
      <xdr:col>11</xdr:col>
      <xdr:colOff>450273</xdr:colOff>
      <xdr:row>2</xdr:row>
      <xdr:rowOff>436764</xdr:rowOff>
    </xdr:to>
    <xdr:sp macro="[0]!Build_FindingsAndRecon_From_DataEntry" textlink="">
      <xdr:nvSpPr>
        <xdr:cNvPr id="2" name="Rectangle: Rounded Corners 1">
          <a:extLst>
            <a:ext uri="{FF2B5EF4-FFF2-40B4-BE49-F238E27FC236}">
              <a16:creationId xmlns:a16="http://schemas.microsoft.com/office/drawing/2014/main" id="{80C5C35A-8D81-4BA4-B01C-6F2DD8CA43F0}"/>
            </a:ext>
          </a:extLst>
        </xdr:cNvPr>
        <xdr:cNvSpPr/>
      </xdr:nvSpPr>
      <xdr:spPr>
        <a:xfrm>
          <a:off x="17087686" y="0"/>
          <a:ext cx="1633269" cy="800446"/>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FINDINGS AND RECOMM</a:t>
          </a:r>
        </a:p>
      </xdr:txBody>
    </xdr:sp>
    <xdr:clientData/>
  </xdr:twoCellAnchor>
  <xdr:twoCellAnchor>
    <xdr:from>
      <xdr:col>11</xdr:col>
      <xdr:colOff>561741</xdr:colOff>
      <xdr:row>0</xdr:row>
      <xdr:rowOff>34637</xdr:rowOff>
    </xdr:from>
    <xdr:to>
      <xdr:col>13</xdr:col>
      <xdr:colOff>3809</xdr:colOff>
      <xdr:row>2</xdr:row>
      <xdr:rowOff>436765</xdr:rowOff>
    </xdr:to>
    <xdr:sp macro="[0]!Build_AppendixScottSchedule_From_DataEntry" textlink="">
      <xdr:nvSpPr>
        <xdr:cNvPr id="3" name="Rectangle: Rounded Corners 2">
          <a:extLst>
            <a:ext uri="{FF2B5EF4-FFF2-40B4-BE49-F238E27FC236}">
              <a16:creationId xmlns:a16="http://schemas.microsoft.com/office/drawing/2014/main" id="{F54E091F-F650-4C9F-A9F8-B808BA7BB66E}"/>
            </a:ext>
          </a:extLst>
        </xdr:cNvPr>
        <xdr:cNvSpPr/>
      </xdr:nvSpPr>
      <xdr:spPr>
        <a:xfrm>
          <a:off x="18832423" y="34637"/>
          <a:ext cx="1624159" cy="765810"/>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SCOTT SCHEDULE</a:t>
          </a:r>
        </a:p>
      </xdr:txBody>
    </xdr:sp>
    <xdr:clientData/>
  </xdr:twoCellAnchor>
  <xdr:twoCellAnchor>
    <xdr:from>
      <xdr:col>10</xdr:col>
      <xdr:colOff>35686</xdr:colOff>
      <xdr:row>3</xdr:row>
      <xdr:rowOff>157015</xdr:rowOff>
    </xdr:from>
    <xdr:to>
      <xdr:col>11</xdr:col>
      <xdr:colOff>442388</xdr:colOff>
      <xdr:row>3</xdr:row>
      <xdr:rowOff>923446</xdr:rowOff>
    </xdr:to>
    <xdr:sp macro="[0]!Action_Items" textlink="">
      <xdr:nvSpPr>
        <xdr:cNvPr id="4" name="Rectangle: Rounded Corners 3">
          <a:extLst>
            <a:ext uri="{FF2B5EF4-FFF2-40B4-BE49-F238E27FC236}">
              <a16:creationId xmlns:a16="http://schemas.microsoft.com/office/drawing/2014/main" id="{2B290289-6204-FB12-4002-09CA28A5BD22}"/>
            </a:ext>
          </a:extLst>
        </xdr:cNvPr>
        <xdr:cNvSpPr/>
      </xdr:nvSpPr>
      <xdr:spPr>
        <a:xfrm>
          <a:off x="17180686" y="1042280"/>
          <a:ext cx="1493673" cy="766431"/>
        </a:xfrm>
        <a:prstGeom prst="round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Items</a:t>
          </a:r>
        </a:p>
      </xdr:txBody>
    </xdr:sp>
    <xdr:clientData/>
  </xdr:twoCellAnchor>
  <mc:AlternateContent xmlns:mc="http://schemas.openxmlformats.org/markup-compatibility/2006">
    <mc:Choice xmlns:a14="http://schemas.microsoft.com/office/drawing/2010/main" Requires="a14">
      <xdr:twoCellAnchor>
        <xdr:from>
          <xdr:col>14</xdr:col>
          <xdr:colOff>487680</xdr:colOff>
          <xdr:row>3</xdr:row>
          <xdr:rowOff>922020</xdr:rowOff>
        </xdr:from>
        <xdr:to>
          <xdr:col>16</xdr:col>
          <xdr:colOff>289560</xdr:colOff>
          <xdr:row>3</xdr:row>
          <xdr:rowOff>1897380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200-000003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00"/>
                  </a:solidFill>
                  <a:latin typeface="Tahoma"/>
                  <a:ea typeface="Tahoma"/>
                  <a:cs typeface="Tahoma"/>
                </a:rPr>
                <a:t>Populate  Text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716280</xdr:colOff>
          <xdr:row>9</xdr:row>
          <xdr:rowOff>121920</xdr:rowOff>
        </xdr:from>
        <xdr:to>
          <xdr:col>11</xdr:col>
          <xdr:colOff>708660</xdr:colOff>
          <xdr:row>11</xdr:row>
          <xdr:rowOff>106680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00"/>
                  </a:solidFill>
                  <a:latin typeface="Arial"/>
                  <a:cs typeface="Arial"/>
                </a:rPr>
                <a:t>Save as PDF /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12</xdr:row>
          <xdr:rowOff>38100</xdr:rowOff>
        </xdr:from>
        <xdr:to>
          <xdr:col>11</xdr:col>
          <xdr:colOff>685800</xdr:colOff>
          <xdr:row>14</xdr:row>
          <xdr:rowOff>106680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00"/>
                  </a:solidFill>
                  <a:latin typeface="Arial"/>
                  <a:cs typeface="Arial"/>
                </a:rPr>
                <a:t>Email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670560</xdr:colOff>
          <xdr:row>6</xdr:row>
          <xdr:rowOff>106680</xdr:rowOff>
        </xdr:from>
        <xdr:to>
          <xdr:col>13</xdr:col>
          <xdr:colOff>182880</xdr:colOff>
          <xdr:row>9</xdr:row>
          <xdr:rowOff>175260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0" i="0" u="none" strike="noStrike" baseline="0">
                  <a:solidFill>
                    <a:srgbClr val="000000"/>
                  </a:solidFill>
                  <a:latin typeface="Tahoma"/>
                  <a:ea typeface="Tahoma"/>
                  <a:cs typeface="Tahoma"/>
                </a:rPr>
                <a:t>Populate Page Numbers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123825</xdr:colOff>
      <xdr:row>63</xdr:row>
      <xdr:rowOff>180975</xdr:rowOff>
    </xdr:from>
    <xdr:to>
      <xdr:col>3</xdr:col>
      <xdr:colOff>662940</xdr:colOff>
      <xdr:row>66</xdr:row>
      <xdr:rowOff>135890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5B082F48-2A22-49B2-80F6-2B369110C257}"/>
                </a:ext>
              </a:extLst>
            </xdr14:cNvPr>
            <xdr14:cNvContentPartPr/>
          </xdr14:nvContentPartPr>
          <xdr14:nvPr macro=""/>
          <xdr14:xfrm>
            <a:off x="390525" y="12411075"/>
            <a:ext cx="1139190" cy="526415"/>
          </xdr14:xfrm>
        </xdr:contentPart>
      </mc:Choice>
      <mc:Fallback xmlns="">
        <xdr:pic>
          <xdr:nvPicPr>
            <xdr:cNvPr id="2" name="Ink 1">
              <a:extLst>
                <a:ext uri="{FF2B5EF4-FFF2-40B4-BE49-F238E27FC236}">
                  <a16:creationId xmlns:a16="http://schemas.microsoft.com/office/drawing/2014/main" id="{F702DF77-1885-0495-EA1C-8725DE22167A}"/>
                </a:ext>
              </a:extLst>
            </xdr:cNvPr>
            <xdr:cNvPicPr/>
          </xdr:nvPicPr>
          <xdr:blipFill>
            <a:blip xmlns:r="http://schemas.openxmlformats.org/officeDocument/2006/relationships" r:embed="rId2"/>
            <a:stretch>
              <a:fillRect/>
            </a:stretch>
          </xdr:blipFill>
          <xdr:spPr>
            <a:xfrm>
              <a:off x="1172572" y="1944164"/>
              <a:ext cx="1167315" cy="565837"/>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19051</xdr:colOff>
      <xdr:row>58</xdr:row>
      <xdr:rowOff>53340</xdr:rowOff>
    </xdr:from>
    <xdr:to>
      <xdr:col>1</xdr:col>
      <xdr:colOff>754381</xdr:colOff>
      <xdr:row>60</xdr:row>
      <xdr:rowOff>147320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DC13AE5A-1634-41CD-A143-E94AC76376DE}"/>
                </a:ext>
              </a:extLst>
            </xdr14:cNvPr>
            <xdr14:cNvContentPartPr/>
          </xdr14:nvContentPartPr>
          <xdr14:nvPr macro=""/>
          <xdr14:xfrm>
            <a:off x="925831" y="30487620"/>
            <a:ext cx="735330" cy="474980"/>
          </xdr14:xfrm>
        </xdr:contentPart>
      </mc:Choice>
      <mc:Fallback xmlns="">
        <xdr:pic>
          <xdr:nvPicPr>
            <xdr:cNvPr id="2" name="Ink 1">
              <a:extLst>
                <a:ext uri="{FF2B5EF4-FFF2-40B4-BE49-F238E27FC236}">
                  <a16:creationId xmlns:a16="http://schemas.microsoft.com/office/drawing/2014/main" id="{F702DF77-1885-0495-EA1C-8725DE22167A}"/>
                </a:ext>
              </a:extLst>
            </xdr:cNvPr>
            <xdr:cNvPicPr/>
          </xdr:nvPicPr>
          <xdr:blipFill>
            <a:blip xmlns:r="http://schemas.openxmlformats.org/officeDocument/2006/relationships" r:embed="rId2"/>
            <a:stretch>
              <a:fillRect/>
            </a:stretch>
          </xdr:blipFill>
          <xdr:spPr>
            <a:xfrm>
              <a:off x="1172572" y="1944164"/>
              <a:ext cx="1167315" cy="565837"/>
            </a:xfrm>
            <a:prstGeom prst="rect">
              <a:avLst/>
            </a:prstGeom>
          </xdr:spPr>
        </xdr:pic>
      </mc:Fallback>
    </mc:AlternateContent>
    <xdr:clientData/>
  </xdr:twoCellAnchor>
  <xdr:twoCellAnchor>
    <xdr:from>
      <xdr:col>8</xdr:col>
      <xdr:colOff>347382</xdr:colOff>
      <xdr:row>2</xdr:row>
      <xdr:rowOff>22412</xdr:rowOff>
    </xdr:from>
    <xdr:to>
      <xdr:col>11</xdr:col>
      <xdr:colOff>201706</xdr:colOff>
      <xdr:row>6</xdr:row>
      <xdr:rowOff>11206</xdr:rowOff>
    </xdr:to>
    <xdr:sp macro="[0]!Build_JointScottSchedule" textlink="">
      <xdr:nvSpPr>
        <xdr:cNvPr id="3" name="Rectangle 2">
          <a:extLst>
            <a:ext uri="{FF2B5EF4-FFF2-40B4-BE49-F238E27FC236}">
              <a16:creationId xmlns:a16="http://schemas.microsoft.com/office/drawing/2014/main" id="{58CC7F22-4BEA-92D5-FD23-7484A0FF0C18}"/>
            </a:ext>
          </a:extLst>
        </xdr:cNvPr>
        <xdr:cNvSpPr/>
      </xdr:nvSpPr>
      <xdr:spPr>
        <a:xfrm>
          <a:off x="10242176" y="504265"/>
          <a:ext cx="2241177" cy="750794"/>
        </a:xfrm>
        <a:prstGeom prst="rect">
          <a:avLst/>
        </a:prstGeom>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JOINT SCOTT SCHEDULE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777716</xdr:colOff>
      <xdr:row>0</xdr:row>
      <xdr:rowOff>124777</xdr:rowOff>
    </xdr:from>
    <xdr:to>
      <xdr:col>10</xdr:col>
      <xdr:colOff>416719</xdr:colOff>
      <xdr:row>2</xdr:row>
      <xdr:rowOff>110558</xdr:rowOff>
    </xdr:to>
    <xdr:sp macro="[0]!Module4.ImportPhotos_ToAppendix2_FromParentFolder" textlink="">
      <xdr:nvSpPr>
        <xdr:cNvPr id="340" name="Rectangle: Rounded Corners 339">
          <a:extLst>
            <a:ext uri="{FF2B5EF4-FFF2-40B4-BE49-F238E27FC236}">
              <a16:creationId xmlns:a16="http://schemas.microsoft.com/office/drawing/2014/main" id="{55B8ACCF-3452-4BA6-9BEB-6A26E7A47C3C}"/>
            </a:ext>
          </a:extLst>
        </xdr:cNvPr>
        <xdr:cNvSpPr/>
      </xdr:nvSpPr>
      <xdr:spPr>
        <a:xfrm>
          <a:off x="7334658" y="124777"/>
          <a:ext cx="1314382" cy="445022"/>
        </a:xfrm>
        <a:prstGeom prst="roundRect">
          <a:avLst/>
        </a:prstGeom>
        <a:solidFill>
          <a:schemeClr val="accent5">
            <a:lumMod val="40000"/>
            <a:lumOff val="60000"/>
          </a:schemeClr>
        </a:solidFill>
        <a:ln/>
        <a:scene3d>
          <a:camera prst="orthographicFront"/>
          <a:lightRig rig="threePt" dir="t"/>
        </a:scene3d>
        <a:sp3d>
          <a:bevelT prst="angle"/>
        </a:sp3d>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b="1">
              <a:solidFill>
                <a:sysClr val="windowText" lastClr="000000"/>
              </a:solidFill>
              <a:latin typeface="Arial" panose="020B0604020202020204" pitchFamily="34" charset="0"/>
              <a:cs typeface="Arial" panose="020B0604020202020204" pitchFamily="34" charset="0"/>
            </a:rPr>
            <a:t>Upload</a:t>
          </a:r>
          <a:r>
            <a:rPr lang="en-US" sz="1100" b="1" baseline="0">
              <a:solidFill>
                <a:sysClr val="windowText" lastClr="000000"/>
              </a:solidFill>
              <a:latin typeface="Arial" panose="020B0604020202020204" pitchFamily="34" charset="0"/>
              <a:cs typeface="Arial" panose="020B0604020202020204" pitchFamily="34" charset="0"/>
            </a:rPr>
            <a:t> Image</a:t>
          </a:r>
        </a:p>
      </xdr:txBody>
    </xdr:sp>
    <xdr:clientData/>
  </xdr:twoCellAnchor>
  <xdr:twoCellAnchor editAs="oneCell">
    <xdr:from>
      <xdr:col>0</xdr:col>
      <xdr:colOff>0</xdr:colOff>
      <xdr:row>7</xdr:row>
      <xdr:rowOff>128542</xdr:rowOff>
    </xdr:from>
    <xdr:to>
      <xdr:col>5</xdr:col>
      <xdr:colOff>39600</xdr:colOff>
      <xdr:row>18</xdr:row>
      <xdr:rowOff>132037</xdr:rowOff>
    </xdr:to>
    <xdr:pic>
      <xdr:nvPicPr>
        <xdr:cNvPr id="3" name="Picture 2">
          <a:extLst>
            <a:ext uri="{FF2B5EF4-FFF2-40B4-BE49-F238E27FC236}">
              <a16:creationId xmlns:a16="http://schemas.microsoft.com/office/drawing/2014/main" id="{C2C55488-EAD2-DEE4-821E-914389CD5976}"/>
            </a:ext>
          </a:extLst>
        </xdr:cNvPr>
        <xdr:cNvPicPr>
          <a:picLocks/>
        </xdr:cNvPicPr>
      </xdr:nvPicPr>
      <xdr:blipFill>
        <a:blip xmlns:r="http://schemas.openxmlformats.org/officeDocument/2006/relationships" r:link="rId1"/>
        <a:stretch>
          <a:fillRect/>
        </a:stretch>
      </xdr:blipFill>
      <xdr:spPr>
        <a:xfrm rot="5400000">
          <a:off x="357142" y="1371600"/>
          <a:ext cx="2525715" cy="3240000"/>
        </a:xfrm>
        <a:prstGeom prst="rect">
          <a:avLst/>
        </a:prstGeom>
      </xdr:spPr>
    </xdr:pic>
    <xdr:clientData/>
  </xdr:twoCellAnchor>
  <xdr:twoCellAnchor editAs="oneCell">
    <xdr:from>
      <xdr:col>5</xdr:col>
      <xdr:colOff>189750</xdr:colOff>
      <xdr:row>7</xdr:row>
      <xdr:rowOff>128542</xdr:rowOff>
    </xdr:from>
    <xdr:to>
      <xdr:col>9</xdr:col>
      <xdr:colOff>115050</xdr:colOff>
      <xdr:row>18</xdr:row>
      <xdr:rowOff>135847</xdr:rowOff>
    </xdr:to>
    <xdr:pic>
      <xdr:nvPicPr>
        <xdr:cNvPr id="5" name="Picture 4">
          <a:extLst>
            <a:ext uri="{FF2B5EF4-FFF2-40B4-BE49-F238E27FC236}">
              <a16:creationId xmlns:a16="http://schemas.microsoft.com/office/drawing/2014/main" id="{8D8D22B9-4AD4-3AFF-8977-0A882AC6DFB3}"/>
            </a:ext>
          </a:extLst>
        </xdr:cNvPr>
        <xdr:cNvPicPr>
          <a:picLocks/>
        </xdr:cNvPicPr>
      </xdr:nvPicPr>
      <xdr:blipFill>
        <a:blip xmlns:r="http://schemas.openxmlformats.org/officeDocument/2006/relationships" r:link="rId2"/>
        <a:stretch>
          <a:fillRect/>
        </a:stretch>
      </xdr:blipFill>
      <xdr:spPr>
        <a:xfrm rot="5400000">
          <a:off x="3747292" y="1371600"/>
          <a:ext cx="2525715" cy="3240000"/>
        </a:xfrm>
        <a:prstGeom prst="rect">
          <a:avLst/>
        </a:prstGeom>
      </xdr:spPr>
    </xdr:pic>
    <xdr:clientData/>
  </xdr:twoCellAnchor>
  <xdr:twoCellAnchor editAs="oneCell">
    <xdr:from>
      <xdr:col>0</xdr:col>
      <xdr:colOff>0</xdr:colOff>
      <xdr:row>24</xdr:row>
      <xdr:rowOff>128542</xdr:rowOff>
    </xdr:from>
    <xdr:to>
      <xdr:col>5</xdr:col>
      <xdr:colOff>39600</xdr:colOff>
      <xdr:row>35</xdr:row>
      <xdr:rowOff>132037</xdr:rowOff>
    </xdr:to>
    <xdr:pic>
      <xdr:nvPicPr>
        <xdr:cNvPr id="7" name="Picture 6">
          <a:extLst>
            <a:ext uri="{FF2B5EF4-FFF2-40B4-BE49-F238E27FC236}">
              <a16:creationId xmlns:a16="http://schemas.microsoft.com/office/drawing/2014/main" id="{AA9C8186-830C-F111-E5FB-FFEE36C4D4BF}"/>
            </a:ext>
          </a:extLst>
        </xdr:cNvPr>
        <xdr:cNvPicPr>
          <a:picLocks/>
        </xdr:cNvPicPr>
      </xdr:nvPicPr>
      <xdr:blipFill>
        <a:blip xmlns:r="http://schemas.openxmlformats.org/officeDocument/2006/relationships" r:link="rId3"/>
        <a:stretch>
          <a:fillRect/>
        </a:stretch>
      </xdr:blipFill>
      <xdr:spPr>
        <a:xfrm rot="5400000">
          <a:off x="357142" y="5257800"/>
          <a:ext cx="2525715" cy="3240000"/>
        </a:xfrm>
        <a:prstGeom prst="rect">
          <a:avLst/>
        </a:prstGeom>
      </xdr:spPr>
    </xdr:pic>
    <xdr:clientData/>
  </xdr:twoCellAnchor>
  <xdr:twoCellAnchor editAs="oneCell">
    <xdr:from>
      <xdr:col>5</xdr:col>
      <xdr:colOff>189750</xdr:colOff>
      <xdr:row>24</xdr:row>
      <xdr:rowOff>128542</xdr:rowOff>
    </xdr:from>
    <xdr:to>
      <xdr:col>9</xdr:col>
      <xdr:colOff>115050</xdr:colOff>
      <xdr:row>35</xdr:row>
      <xdr:rowOff>135847</xdr:rowOff>
    </xdr:to>
    <xdr:pic>
      <xdr:nvPicPr>
        <xdr:cNvPr id="9" name="Picture 8">
          <a:extLst>
            <a:ext uri="{FF2B5EF4-FFF2-40B4-BE49-F238E27FC236}">
              <a16:creationId xmlns:a16="http://schemas.microsoft.com/office/drawing/2014/main" id="{D1342F3B-8D7A-6652-D51F-BF411DBE9589}"/>
            </a:ext>
          </a:extLst>
        </xdr:cNvPr>
        <xdr:cNvPicPr>
          <a:picLocks/>
        </xdr:cNvPicPr>
      </xdr:nvPicPr>
      <xdr:blipFill>
        <a:blip xmlns:r="http://schemas.openxmlformats.org/officeDocument/2006/relationships" r:link="rId4"/>
        <a:stretch>
          <a:fillRect/>
        </a:stretch>
      </xdr:blipFill>
      <xdr:spPr>
        <a:xfrm rot="5400000">
          <a:off x="3747292" y="5257800"/>
          <a:ext cx="2525715" cy="3240000"/>
        </a:xfrm>
        <a:prstGeom prst="rect">
          <a:avLst/>
        </a:prstGeom>
      </xdr:spPr>
    </xdr:pic>
    <xdr:clientData/>
  </xdr:twoCellAnchor>
  <xdr:twoCellAnchor editAs="oneCell">
    <xdr:from>
      <xdr:col>0</xdr:col>
      <xdr:colOff>0</xdr:colOff>
      <xdr:row>44</xdr:row>
      <xdr:rowOff>128542</xdr:rowOff>
    </xdr:from>
    <xdr:to>
      <xdr:col>5</xdr:col>
      <xdr:colOff>39600</xdr:colOff>
      <xdr:row>55</xdr:row>
      <xdr:rowOff>132037</xdr:rowOff>
    </xdr:to>
    <xdr:pic>
      <xdr:nvPicPr>
        <xdr:cNvPr id="11" name="Picture 10">
          <a:extLst>
            <a:ext uri="{FF2B5EF4-FFF2-40B4-BE49-F238E27FC236}">
              <a16:creationId xmlns:a16="http://schemas.microsoft.com/office/drawing/2014/main" id="{7C223391-AD0C-7E35-C579-9BE8CCA20363}"/>
            </a:ext>
          </a:extLst>
        </xdr:cNvPr>
        <xdr:cNvPicPr>
          <a:picLocks/>
        </xdr:cNvPicPr>
      </xdr:nvPicPr>
      <xdr:blipFill>
        <a:blip xmlns:r="http://schemas.openxmlformats.org/officeDocument/2006/relationships" r:link="rId5"/>
        <a:stretch>
          <a:fillRect/>
        </a:stretch>
      </xdr:blipFill>
      <xdr:spPr>
        <a:xfrm rot="5400000">
          <a:off x="357142" y="9829800"/>
          <a:ext cx="2525715" cy="3240000"/>
        </a:xfrm>
        <a:prstGeom prst="rect">
          <a:avLst/>
        </a:prstGeom>
      </xdr:spPr>
    </xdr:pic>
    <xdr:clientData/>
  </xdr:twoCellAnchor>
  <xdr:twoCellAnchor editAs="oneCell">
    <xdr:from>
      <xdr:col>5</xdr:col>
      <xdr:colOff>189750</xdr:colOff>
      <xdr:row>44</xdr:row>
      <xdr:rowOff>128542</xdr:rowOff>
    </xdr:from>
    <xdr:to>
      <xdr:col>9</xdr:col>
      <xdr:colOff>115050</xdr:colOff>
      <xdr:row>55</xdr:row>
      <xdr:rowOff>135847</xdr:rowOff>
    </xdr:to>
    <xdr:pic>
      <xdr:nvPicPr>
        <xdr:cNvPr id="13" name="Picture 12">
          <a:extLst>
            <a:ext uri="{FF2B5EF4-FFF2-40B4-BE49-F238E27FC236}">
              <a16:creationId xmlns:a16="http://schemas.microsoft.com/office/drawing/2014/main" id="{DE08FC8E-414B-7920-71BC-E7B89560272D}"/>
            </a:ext>
          </a:extLst>
        </xdr:cNvPr>
        <xdr:cNvPicPr>
          <a:picLocks/>
        </xdr:cNvPicPr>
      </xdr:nvPicPr>
      <xdr:blipFill>
        <a:blip xmlns:r="http://schemas.openxmlformats.org/officeDocument/2006/relationships" r:link="rId6"/>
        <a:stretch>
          <a:fillRect/>
        </a:stretch>
      </xdr:blipFill>
      <xdr:spPr>
        <a:xfrm rot="5400000">
          <a:off x="3747292" y="9829800"/>
          <a:ext cx="2525715" cy="3240000"/>
        </a:xfrm>
        <a:prstGeom prst="rect">
          <a:avLst/>
        </a:prstGeom>
      </xdr:spPr>
    </xdr:pic>
    <xdr:clientData/>
  </xdr:twoCellAnchor>
  <xdr:twoCellAnchor editAs="oneCell">
    <xdr:from>
      <xdr:col>0</xdr:col>
      <xdr:colOff>0</xdr:colOff>
      <xdr:row>61</xdr:row>
      <xdr:rowOff>128542</xdr:rowOff>
    </xdr:from>
    <xdr:to>
      <xdr:col>5</xdr:col>
      <xdr:colOff>39600</xdr:colOff>
      <xdr:row>72</xdr:row>
      <xdr:rowOff>132037</xdr:rowOff>
    </xdr:to>
    <xdr:pic>
      <xdr:nvPicPr>
        <xdr:cNvPr id="15" name="Picture 14">
          <a:extLst>
            <a:ext uri="{FF2B5EF4-FFF2-40B4-BE49-F238E27FC236}">
              <a16:creationId xmlns:a16="http://schemas.microsoft.com/office/drawing/2014/main" id="{2A029D7E-2065-A62D-F1C1-D916444EE3F8}"/>
            </a:ext>
          </a:extLst>
        </xdr:cNvPr>
        <xdr:cNvPicPr>
          <a:picLocks/>
        </xdr:cNvPicPr>
      </xdr:nvPicPr>
      <xdr:blipFill>
        <a:blip xmlns:r="http://schemas.openxmlformats.org/officeDocument/2006/relationships" r:link="rId7"/>
        <a:stretch>
          <a:fillRect/>
        </a:stretch>
      </xdr:blipFill>
      <xdr:spPr>
        <a:xfrm rot="5400000">
          <a:off x="357142" y="13716000"/>
          <a:ext cx="2525715" cy="3240000"/>
        </a:xfrm>
        <a:prstGeom prst="rect">
          <a:avLst/>
        </a:prstGeom>
      </xdr:spPr>
    </xdr:pic>
    <xdr:clientData/>
  </xdr:twoCellAnchor>
  <xdr:twoCellAnchor editAs="oneCell">
    <xdr:from>
      <xdr:col>5</xdr:col>
      <xdr:colOff>189750</xdr:colOff>
      <xdr:row>61</xdr:row>
      <xdr:rowOff>128542</xdr:rowOff>
    </xdr:from>
    <xdr:to>
      <xdr:col>9</xdr:col>
      <xdr:colOff>115050</xdr:colOff>
      <xdr:row>72</xdr:row>
      <xdr:rowOff>135847</xdr:rowOff>
    </xdr:to>
    <xdr:pic>
      <xdr:nvPicPr>
        <xdr:cNvPr id="17" name="Picture 16">
          <a:extLst>
            <a:ext uri="{FF2B5EF4-FFF2-40B4-BE49-F238E27FC236}">
              <a16:creationId xmlns:a16="http://schemas.microsoft.com/office/drawing/2014/main" id="{94DBA789-95D8-C762-5FBF-A3A4DA154688}"/>
            </a:ext>
          </a:extLst>
        </xdr:cNvPr>
        <xdr:cNvPicPr>
          <a:picLocks/>
        </xdr:cNvPicPr>
      </xdr:nvPicPr>
      <xdr:blipFill>
        <a:blip xmlns:r="http://schemas.openxmlformats.org/officeDocument/2006/relationships" r:link="rId8"/>
        <a:stretch>
          <a:fillRect/>
        </a:stretch>
      </xdr:blipFill>
      <xdr:spPr>
        <a:xfrm rot="5400000">
          <a:off x="3747292" y="13716000"/>
          <a:ext cx="2525715" cy="3240000"/>
        </a:xfrm>
        <a:prstGeom prst="rect">
          <a:avLst/>
        </a:prstGeom>
      </xdr:spPr>
    </xdr:pic>
    <xdr:clientData/>
  </xdr:twoCellAnchor>
  <xdr:twoCellAnchor editAs="oneCell">
    <xdr:from>
      <xdr:col>0</xdr:col>
      <xdr:colOff>0</xdr:colOff>
      <xdr:row>81</xdr:row>
      <xdr:rowOff>128542</xdr:rowOff>
    </xdr:from>
    <xdr:to>
      <xdr:col>5</xdr:col>
      <xdr:colOff>39600</xdr:colOff>
      <xdr:row>92</xdr:row>
      <xdr:rowOff>132037</xdr:rowOff>
    </xdr:to>
    <xdr:pic>
      <xdr:nvPicPr>
        <xdr:cNvPr id="19" name="Picture 18">
          <a:extLst>
            <a:ext uri="{FF2B5EF4-FFF2-40B4-BE49-F238E27FC236}">
              <a16:creationId xmlns:a16="http://schemas.microsoft.com/office/drawing/2014/main" id="{B6099389-BEAF-7090-C107-D7E39CEEA071}"/>
            </a:ext>
          </a:extLst>
        </xdr:cNvPr>
        <xdr:cNvPicPr>
          <a:picLocks/>
        </xdr:cNvPicPr>
      </xdr:nvPicPr>
      <xdr:blipFill>
        <a:blip xmlns:r="http://schemas.openxmlformats.org/officeDocument/2006/relationships" r:link="rId9"/>
        <a:stretch>
          <a:fillRect/>
        </a:stretch>
      </xdr:blipFill>
      <xdr:spPr>
        <a:xfrm rot="5400000">
          <a:off x="357142" y="18288000"/>
          <a:ext cx="2525715" cy="3240000"/>
        </a:xfrm>
        <a:prstGeom prst="rect">
          <a:avLst/>
        </a:prstGeom>
      </xdr:spPr>
    </xdr:pic>
    <xdr:clientData/>
  </xdr:twoCellAnchor>
  <xdr:twoCellAnchor editAs="oneCell">
    <xdr:from>
      <xdr:col>5</xdr:col>
      <xdr:colOff>189750</xdr:colOff>
      <xdr:row>81</xdr:row>
      <xdr:rowOff>128542</xdr:rowOff>
    </xdr:from>
    <xdr:to>
      <xdr:col>9</xdr:col>
      <xdr:colOff>115050</xdr:colOff>
      <xdr:row>92</xdr:row>
      <xdr:rowOff>135847</xdr:rowOff>
    </xdr:to>
    <xdr:pic>
      <xdr:nvPicPr>
        <xdr:cNvPr id="21" name="Picture 20">
          <a:extLst>
            <a:ext uri="{FF2B5EF4-FFF2-40B4-BE49-F238E27FC236}">
              <a16:creationId xmlns:a16="http://schemas.microsoft.com/office/drawing/2014/main" id="{C629E43F-AF2D-BB7C-92C3-8BA1A10BFAB4}"/>
            </a:ext>
          </a:extLst>
        </xdr:cNvPr>
        <xdr:cNvPicPr>
          <a:picLocks/>
        </xdr:cNvPicPr>
      </xdr:nvPicPr>
      <xdr:blipFill>
        <a:blip xmlns:r="http://schemas.openxmlformats.org/officeDocument/2006/relationships" r:link="rId10"/>
        <a:stretch>
          <a:fillRect/>
        </a:stretch>
      </xdr:blipFill>
      <xdr:spPr>
        <a:xfrm rot="5400000">
          <a:off x="3747292" y="18288000"/>
          <a:ext cx="2525715" cy="3240000"/>
        </a:xfrm>
        <a:prstGeom prst="rect">
          <a:avLst/>
        </a:prstGeom>
      </xdr:spPr>
    </xdr:pic>
    <xdr:clientData/>
  </xdr:twoCellAnchor>
  <xdr:twoCellAnchor editAs="oneCell">
    <xdr:from>
      <xdr:col>0</xdr:col>
      <xdr:colOff>0</xdr:colOff>
      <xdr:row>98</xdr:row>
      <xdr:rowOff>128542</xdr:rowOff>
    </xdr:from>
    <xdr:to>
      <xdr:col>5</xdr:col>
      <xdr:colOff>39600</xdr:colOff>
      <xdr:row>109</xdr:row>
      <xdr:rowOff>132037</xdr:rowOff>
    </xdr:to>
    <xdr:pic>
      <xdr:nvPicPr>
        <xdr:cNvPr id="23" name="Picture 22">
          <a:extLst>
            <a:ext uri="{FF2B5EF4-FFF2-40B4-BE49-F238E27FC236}">
              <a16:creationId xmlns:a16="http://schemas.microsoft.com/office/drawing/2014/main" id="{0E4EF1C3-0778-D5AD-FFC1-7943DEFA1A5A}"/>
            </a:ext>
          </a:extLst>
        </xdr:cNvPr>
        <xdr:cNvPicPr>
          <a:picLocks/>
        </xdr:cNvPicPr>
      </xdr:nvPicPr>
      <xdr:blipFill>
        <a:blip xmlns:r="http://schemas.openxmlformats.org/officeDocument/2006/relationships" r:link="rId11"/>
        <a:stretch>
          <a:fillRect/>
        </a:stretch>
      </xdr:blipFill>
      <xdr:spPr>
        <a:xfrm rot="5400000">
          <a:off x="357142" y="22174200"/>
          <a:ext cx="2525715" cy="3240000"/>
        </a:xfrm>
        <a:prstGeom prst="rect">
          <a:avLst/>
        </a:prstGeom>
      </xdr:spPr>
    </xdr:pic>
    <xdr:clientData/>
  </xdr:twoCellAnchor>
  <xdr:twoCellAnchor editAs="oneCell">
    <xdr:from>
      <xdr:col>5</xdr:col>
      <xdr:colOff>189750</xdr:colOff>
      <xdr:row>98</xdr:row>
      <xdr:rowOff>128542</xdr:rowOff>
    </xdr:from>
    <xdr:to>
      <xdr:col>9</xdr:col>
      <xdr:colOff>115050</xdr:colOff>
      <xdr:row>109</xdr:row>
      <xdr:rowOff>135847</xdr:rowOff>
    </xdr:to>
    <xdr:pic>
      <xdr:nvPicPr>
        <xdr:cNvPr id="25" name="Picture 24">
          <a:extLst>
            <a:ext uri="{FF2B5EF4-FFF2-40B4-BE49-F238E27FC236}">
              <a16:creationId xmlns:a16="http://schemas.microsoft.com/office/drawing/2014/main" id="{853CB3F1-51D7-4972-EFB0-98615B279375}"/>
            </a:ext>
          </a:extLst>
        </xdr:cNvPr>
        <xdr:cNvPicPr>
          <a:picLocks/>
        </xdr:cNvPicPr>
      </xdr:nvPicPr>
      <xdr:blipFill>
        <a:blip xmlns:r="http://schemas.openxmlformats.org/officeDocument/2006/relationships" r:link="rId12"/>
        <a:stretch>
          <a:fillRect/>
        </a:stretch>
      </xdr:blipFill>
      <xdr:spPr>
        <a:xfrm rot="5400000">
          <a:off x="3747292" y="22174200"/>
          <a:ext cx="2525715" cy="3240000"/>
        </a:xfrm>
        <a:prstGeom prst="rect">
          <a:avLst/>
        </a:prstGeom>
      </xdr:spPr>
    </xdr:pic>
    <xdr:clientData/>
  </xdr:twoCellAnchor>
  <xdr:twoCellAnchor editAs="oneCell">
    <xdr:from>
      <xdr:col>0</xdr:col>
      <xdr:colOff>0</xdr:colOff>
      <xdr:row>118</xdr:row>
      <xdr:rowOff>128542</xdr:rowOff>
    </xdr:from>
    <xdr:to>
      <xdr:col>5</xdr:col>
      <xdr:colOff>39600</xdr:colOff>
      <xdr:row>129</xdr:row>
      <xdr:rowOff>132037</xdr:rowOff>
    </xdr:to>
    <xdr:pic>
      <xdr:nvPicPr>
        <xdr:cNvPr id="27" name="Picture 26">
          <a:extLst>
            <a:ext uri="{FF2B5EF4-FFF2-40B4-BE49-F238E27FC236}">
              <a16:creationId xmlns:a16="http://schemas.microsoft.com/office/drawing/2014/main" id="{096BF5C7-AA88-E5AC-3C96-EB62AC88CF07}"/>
            </a:ext>
          </a:extLst>
        </xdr:cNvPr>
        <xdr:cNvPicPr>
          <a:picLocks/>
        </xdr:cNvPicPr>
      </xdr:nvPicPr>
      <xdr:blipFill>
        <a:blip xmlns:r="http://schemas.openxmlformats.org/officeDocument/2006/relationships" r:link="rId13"/>
        <a:stretch>
          <a:fillRect/>
        </a:stretch>
      </xdr:blipFill>
      <xdr:spPr>
        <a:xfrm rot="5400000">
          <a:off x="357142" y="26746200"/>
          <a:ext cx="2525715" cy="3240000"/>
        </a:xfrm>
        <a:prstGeom prst="rect">
          <a:avLst/>
        </a:prstGeom>
      </xdr:spPr>
    </xdr:pic>
    <xdr:clientData/>
  </xdr:twoCellAnchor>
  <xdr:twoCellAnchor editAs="oneCell">
    <xdr:from>
      <xdr:col>5</xdr:col>
      <xdr:colOff>189750</xdr:colOff>
      <xdr:row>118</xdr:row>
      <xdr:rowOff>128542</xdr:rowOff>
    </xdr:from>
    <xdr:to>
      <xdr:col>9</xdr:col>
      <xdr:colOff>115050</xdr:colOff>
      <xdr:row>129</xdr:row>
      <xdr:rowOff>135847</xdr:rowOff>
    </xdr:to>
    <xdr:pic>
      <xdr:nvPicPr>
        <xdr:cNvPr id="29" name="Picture 28">
          <a:extLst>
            <a:ext uri="{FF2B5EF4-FFF2-40B4-BE49-F238E27FC236}">
              <a16:creationId xmlns:a16="http://schemas.microsoft.com/office/drawing/2014/main" id="{D4133662-9920-539B-0693-9A5DC5F19820}"/>
            </a:ext>
          </a:extLst>
        </xdr:cNvPr>
        <xdr:cNvPicPr>
          <a:picLocks/>
        </xdr:cNvPicPr>
      </xdr:nvPicPr>
      <xdr:blipFill>
        <a:blip xmlns:r="http://schemas.openxmlformats.org/officeDocument/2006/relationships" r:link="rId14"/>
        <a:stretch>
          <a:fillRect/>
        </a:stretch>
      </xdr:blipFill>
      <xdr:spPr>
        <a:xfrm rot="5400000">
          <a:off x="3747292" y="26746200"/>
          <a:ext cx="2525715" cy="3240000"/>
        </a:xfrm>
        <a:prstGeom prst="rect">
          <a:avLst/>
        </a:prstGeom>
      </xdr:spPr>
    </xdr:pic>
    <xdr:clientData/>
  </xdr:twoCellAnchor>
  <xdr:twoCellAnchor editAs="oneCell">
    <xdr:from>
      <xdr:col>0</xdr:col>
      <xdr:colOff>0</xdr:colOff>
      <xdr:row>135</xdr:row>
      <xdr:rowOff>128542</xdr:rowOff>
    </xdr:from>
    <xdr:to>
      <xdr:col>5</xdr:col>
      <xdr:colOff>39600</xdr:colOff>
      <xdr:row>146</xdr:row>
      <xdr:rowOff>132037</xdr:rowOff>
    </xdr:to>
    <xdr:pic>
      <xdr:nvPicPr>
        <xdr:cNvPr id="31" name="Picture 30">
          <a:extLst>
            <a:ext uri="{FF2B5EF4-FFF2-40B4-BE49-F238E27FC236}">
              <a16:creationId xmlns:a16="http://schemas.microsoft.com/office/drawing/2014/main" id="{2040FD40-29F9-7B23-7329-8C4DB3A42201}"/>
            </a:ext>
          </a:extLst>
        </xdr:cNvPr>
        <xdr:cNvPicPr>
          <a:picLocks/>
        </xdr:cNvPicPr>
      </xdr:nvPicPr>
      <xdr:blipFill>
        <a:blip xmlns:r="http://schemas.openxmlformats.org/officeDocument/2006/relationships" r:link="rId15"/>
        <a:stretch>
          <a:fillRect/>
        </a:stretch>
      </xdr:blipFill>
      <xdr:spPr>
        <a:xfrm rot="5400000">
          <a:off x="357142" y="30632400"/>
          <a:ext cx="2525715" cy="3240000"/>
        </a:xfrm>
        <a:prstGeom prst="rect">
          <a:avLst/>
        </a:prstGeom>
      </xdr:spPr>
    </xdr:pic>
    <xdr:clientData/>
  </xdr:twoCellAnchor>
  <xdr:twoCellAnchor editAs="oneCell">
    <xdr:from>
      <xdr:col>5</xdr:col>
      <xdr:colOff>189750</xdr:colOff>
      <xdr:row>135</xdr:row>
      <xdr:rowOff>128542</xdr:rowOff>
    </xdr:from>
    <xdr:to>
      <xdr:col>9</xdr:col>
      <xdr:colOff>115050</xdr:colOff>
      <xdr:row>146</xdr:row>
      <xdr:rowOff>135847</xdr:rowOff>
    </xdr:to>
    <xdr:pic>
      <xdr:nvPicPr>
        <xdr:cNvPr id="33" name="Picture 32">
          <a:extLst>
            <a:ext uri="{FF2B5EF4-FFF2-40B4-BE49-F238E27FC236}">
              <a16:creationId xmlns:a16="http://schemas.microsoft.com/office/drawing/2014/main" id="{1187E933-9508-99E0-667E-AE91B86449D7}"/>
            </a:ext>
          </a:extLst>
        </xdr:cNvPr>
        <xdr:cNvPicPr>
          <a:picLocks/>
        </xdr:cNvPicPr>
      </xdr:nvPicPr>
      <xdr:blipFill>
        <a:blip xmlns:r="http://schemas.openxmlformats.org/officeDocument/2006/relationships" r:link="rId16"/>
        <a:stretch>
          <a:fillRect/>
        </a:stretch>
      </xdr:blipFill>
      <xdr:spPr>
        <a:xfrm rot="5400000">
          <a:off x="3747292" y="30632400"/>
          <a:ext cx="2525715" cy="3240000"/>
        </a:xfrm>
        <a:prstGeom prst="rect">
          <a:avLst/>
        </a:prstGeom>
      </xdr:spPr>
    </xdr:pic>
    <xdr:clientData/>
  </xdr:twoCellAnchor>
  <xdr:twoCellAnchor editAs="oneCell">
    <xdr:from>
      <xdr:col>0</xdr:col>
      <xdr:colOff>0</xdr:colOff>
      <xdr:row>155</xdr:row>
      <xdr:rowOff>128542</xdr:rowOff>
    </xdr:from>
    <xdr:to>
      <xdr:col>5</xdr:col>
      <xdr:colOff>39600</xdr:colOff>
      <xdr:row>166</xdr:row>
      <xdr:rowOff>132037</xdr:rowOff>
    </xdr:to>
    <xdr:pic>
      <xdr:nvPicPr>
        <xdr:cNvPr id="35" name="Picture 34">
          <a:extLst>
            <a:ext uri="{FF2B5EF4-FFF2-40B4-BE49-F238E27FC236}">
              <a16:creationId xmlns:a16="http://schemas.microsoft.com/office/drawing/2014/main" id="{999401B7-A380-ED28-8974-12696E360472}"/>
            </a:ext>
          </a:extLst>
        </xdr:cNvPr>
        <xdr:cNvPicPr>
          <a:picLocks/>
        </xdr:cNvPicPr>
      </xdr:nvPicPr>
      <xdr:blipFill>
        <a:blip xmlns:r="http://schemas.openxmlformats.org/officeDocument/2006/relationships" r:link="rId17"/>
        <a:stretch>
          <a:fillRect/>
        </a:stretch>
      </xdr:blipFill>
      <xdr:spPr>
        <a:xfrm rot="5400000">
          <a:off x="357142" y="35204400"/>
          <a:ext cx="2525715" cy="3240000"/>
        </a:xfrm>
        <a:prstGeom prst="rect">
          <a:avLst/>
        </a:prstGeom>
      </xdr:spPr>
    </xdr:pic>
    <xdr:clientData/>
  </xdr:twoCellAnchor>
  <xdr:twoCellAnchor editAs="oneCell">
    <xdr:from>
      <xdr:col>5</xdr:col>
      <xdr:colOff>189750</xdr:colOff>
      <xdr:row>155</xdr:row>
      <xdr:rowOff>128542</xdr:rowOff>
    </xdr:from>
    <xdr:to>
      <xdr:col>9</xdr:col>
      <xdr:colOff>115050</xdr:colOff>
      <xdr:row>166</xdr:row>
      <xdr:rowOff>135847</xdr:rowOff>
    </xdr:to>
    <xdr:pic>
      <xdr:nvPicPr>
        <xdr:cNvPr id="37" name="Picture 36">
          <a:extLst>
            <a:ext uri="{FF2B5EF4-FFF2-40B4-BE49-F238E27FC236}">
              <a16:creationId xmlns:a16="http://schemas.microsoft.com/office/drawing/2014/main" id="{9ED351F6-DAA4-6364-11FF-04DB3C02E48D}"/>
            </a:ext>
          </a:extLst>
        </xdr:cNvPr>
        <xdr:cNvPicPr>
          <a:picLocks/>
        </xdr:cNvPicPr>
      </xdr:nvPicPr>
      <xdr:blipFill>
        <a:blip xmlns:r="http://schemas.openxmlformats.org/officeDocument/2006/relationships" r:link="rId18"/>
        <a:stretch>
          <a:fillRect/>
        </a:stretch>
      </xdr:blipFill>
      <xdr:spPr>
        <a:xfrm rot="5400000">
          <a:off x="3747292" y="35204400"/>
          <a:ext cx="2525715" cy="3240000"/>
        </a:xfrm>
        <a:prstGeom prst="rect">
          <a:avLst/>
        </a:prstGeom>
      </xdr:spPr>
    </xdr:pic>
    <xdr:clientData/>
  </xdr:twoCellAnchor>
  <xdr:twoCellAnchor editAs="oneCell">
    <xdr:from>
      <xdr:col>0</xdr:col>
      <xdr:colOff>0</xdr:colOff>
      <xdr:row>172</xdr:row>
      <xdr:rowOff>128542</xdr:rowOff>
    </xdr:from>
    <xdr:to>
      <xdr:col>5</xdr:col>
      <xdr:colOff>39600</xdr:colOff>
      <xdr:row>183</xdr:row>
      <xdr:rowOff>132037</xdr:rowOff>
    </xdr:to>
    <xdr:pic>
      <xdr:nvPicPr>
        <xdr:cNvPr id="39" name="Picture 38">
          <a:extLst>
            <a:ext uri="{FF2B5EF4-FFF2-40B4-BE49-F238E27FC236}">
              <a16:creationId xmlns:a16="http://schemas.microsoft.com/office/drawing/2014/main" id="{185CB4EB-3F60-3AA3-34E9-DF5DE52D23E0}"/>
            </a:ext>
          </a:extLst>
        </xdr:cNvPr>
        <xdr:cNvPicPr>
          <a:picLocks/>
        </xdr:cNvPicPr>
      </xdr:nvPicPr>
      <xdr:blipFill>
        <a:blip xmlns:r="http://schemas.openxmlformats.org/officeDocument/2006/relationships" r:link="rId19"/>
        <a:stretch>
          <a:fillRect/>
        </a:stretch>
      </xdr:blipFill>
      <xdr:spPr>
        <a:xfrm rot="5400000">
          <a:off x="357142" y="39090600"/>
          <a:ext cx="2525715" cy="3240000"/>
        </a:xfrm>
        <a:prstGeom prst="rect">
          <a:avLst/>
        </a:prstGeom>
      </xdr:spPr>
    </xdr:pic>
    <xdr:clientData/>
  </xdr:twoCellAnchor>
  <xdr:twoCellAnchor editAs="oneCell">
    <xdr:from>
      <xdr:col>5</xdr:col>
      <xdr:colOff>189750</xdr:colOff>
      <xdr:row>172</xdr:row>
      <xdr:rowOff>128542</xdr:rowOff>
    </xdr:from>
    <xdr:to>
      <xdr:col>9</xdr:col>
      <xdr:colOff>115050</xdr:colOff>
      <xdr:row>183</xdr:row>
      <xdr:rowOff>135847</xdr:rowOff>
    </xdr:to>
    <xdr:pic>
      <xdr:nvPicPr>
        <xdr:cNvPr id="41" name="Picture 40">
          <a:extLst>
            <a:ext uri="{FF2B5EF4-FFF2-40B4-BE49-F238E27FC236}">
              <a16:creationId xmlns:a16="http://schemas.microsoft.com/office/drawing/2014/main" id="{CBDF39FB-AB7D-EDEC-2F9D-106CFD54F7C0}"/>
            </a:ext>
          </a:extLst>
        </xdr:cNvPr>
        <xdr:cNvPicPr>
          <a:picLocks/>
        </xdr:cNvPicPr>
      </xdr:nvPicPr>
      <xdr:blipFill>
        <a:blip xmlns:r="http://schemas.openxmlformats.org/officeDocument/2006/relationships" r:link="rId20"/>
        <a:stretch>
          <a:fillRect/>
        </a:stretch>
      </xdr:blipFill>
      <xdr:spPr>
        <a:xfrm rot="5400000">
          <a:off x="3747292" y="39090600"/>
          <a:ext cx="2525715" cy="3240000"/>
        </a:xfrm>
        <a:prstGeom prst="rect">
          <a:avLst/>
        </a:prstGeom>
      </xdr:spPr>
    </xdr:pic>
    <xdr:clientData/>
  </xdr:twoCellAnchor>
  <xdr:twoCellAnchor editAs="oneCell">
    <xdr:from>
      <xdr:col>0</xdr:col>
      <xdr:colOff>0</xdr:colOff>
      <xdr:row>192</xdr:row>
      <xdr:rowOff>128542</xdr:rowOff>
    </xdr:from>
    <xdr:to>
      <xdr:col>5</xdr:col>
      <xdr:colOff>39600</xdr:colOff>
      <xdr:row>203</xdr:row>
      <xdr:rowOff>132037</xdr:rowOff>
    </xdr:to>
    <xdr:pic>
      <xdr:nvPicPr>
        <xdr:cNvPr id="43" name="Picture 42">
          <a:extLst>
            <a:ext uri="{FF2B5EF4-FFF2-40B4-BE49-F238E27FC236}">
              <a16:creationId xmlns:a16="http://schemas.microsoft.com/office/drawing/2014/main" id="{5E0D8123-4076-2820-5934-B7E93AD571E0}"/>
            </a:ext>
          </a:extLst>
        </xdr:cNvPr>
        <xdr:cNvPicPr>
          <a:picLocks/>
        </xdr:cNvPicPr>
      </xdr:nvPicPr>
      <xdr:blipFill>
        <a:blip xmlns:r="http://schemas.openxmlformats.org/officeDocument/2006/relationships" r:link="rId21"/>
        <a:stretch>
          <a:fillRect/>
        </a:stretch>
      </xdr:blipFill>
      <xdr:spPr>
        <a:xfrm rot="5400000">
          <a:off x="357142" y="43662600"/>
          <a:ext cx="2525715" cy="3240000"/>
        </a:xfrm>
        <a:prstGeom prst="rect">
          <a:avLst/>
        </a:prstGeom>
      </xdr:spPr>
    </xdr:pic>
    <xdr:clientData/>
  </xdr:twoCellAnchor>
  <xdr:twoCellAnchor editAs="oneCell">
    <xdr:from>
      <xdr:col>5</xdr:col>
      <xdr:colOff>189750</xdr:colOff>
      <xdr:row>192</xdr:row>
      <xdr:rowOff>128542</xdr:rowOff>
    </xdr:from>
    <xdr:to>
      <xdr:col>9</xdr:col>
      <xdr:colOff>115050</xdr:colOff>
      <xdr:row>203</xdr:row>
      <xdr:rowOff>135847</xdr:rowOff>
    </xdr:to>
    <xdr:pic>
      <xdr:nvPicPr>
        <xdr:cNvPr id="45" name="Picture 44">
          <a:extLst>
            <a:ext uri="{FF2B5EF4-FFF2-40B4-BE49-F238E27FC236}">
              <a16:creationId xmlns:a16="http://schemas.microsoft.com/office/drawing/2014/main" id="{2F507CF0-B2E6-12CD-504C-8F26E31E1718}"/>
            </a:ext>
          </a:extLst>
        </xdr:cNvPr>
        <xdr:cNvPicPr>
          <a:picLocks/>
        </xdr:cNvPicPr>
      </xdr:nvPicPr>
      <xdr:blipFill>
        <a:blip xmlns:r="http://schemas.openxmlformats.org/officeDocument/2006/relationships" r:link="rId22"/>
        <a:stretch>
          <a:fillRect/>
        </a:stretch>
      </xdr:blipFill>
      <xdr:spPr>
        <a:xfrm rot="5400000">
          <a:off x="3747292" y="43662600"/>
          <a:ext cx="2525715" cy="3240000"/>
        </a:xfrm>
        <a:prstGeom prst="rect">
          <a:avLst/>
        </a:prstGeom>
      </xdr:spPr>
    </xdr:pic>
    <xdr:clientData/>
  </xdr:twoCellAnchor>
  <xdr:twoCellAnchor editAs="oneCell">
    <xdr:from>
      <xdr:col>0</xdr:col>
      <xdr:colOff>0</xdr:colOff>
      <xdr:row>209</xdr:row>
      <xdr:rowOff>128542</xdr:rowOff>
    </xdr:from>
    <xdr:to>
      <xdr:col>5</xdr:col>
      <xdr:colOff>39600</xdr:colOff>
      <xdr:row>220</xdr:row>
      <xdr:rowOff>132037</xdr:rowOff>
    </xdr:to>
    <xdr:pic>
      <xdr:nvPicPr>
        <xdr:cNvPr id="47" name="Picture 46">
          <a:extLst>
            <a:ext uri="{FF2B5EF4-FFF2-40B4-BE49-F238E27FC236}">
              <a16:creationId xmlns:a16="http://schemas.microsoft.com/office/drawing/2014/main" id="{64C12F99-1DE1-08D5-A3AF-10D23E1AF03E}"/>
            </a:ext>
          </a:extLst>
        </xdr:cNvPr>
        <xdr:cNvPicPr>
          <a:picLocks/>
        </xdr:cNvPicPr>
      </xdr:nvPicPr>
      <xdr:blipFill>
        <a:blip xmlns:r="http://schemas.openxmlformats.org/officeDocument/2006/relationships" r:link="rId23"/>
        <a:stretch>
          <a:fillRect/>
        </a:stretch>
      </xdr:blipFill>
      <xdr:spPr>
        <a:xfrm rot="5400000">
          <a:off x="357142" y="47548800"/>
          <a:ext cx="2525715" cy="3240000"/>
        </a:xfrm>
        <a:prstGeom prst="rect">
          <a:avLst/>
        </a:prstGeom>
      </xdr:spPr>
    </xdr:pic>
    <xdr:clientData/>
  </xdr:twoCellAnchor>
  <xdr:twoCellAnchor editAs="oneCell">
    <xdr:from>
      <xdr:col>5</xdr:col>
      <xdr:colOff>189750</xdr:colOff>
      <xdr:row>209</xdr:row>
      <xdr:rowOff>128542</xdr:rowOff>
    </xdr:from>
    <xdr:to>
      <xdr:col>9</xdr:col>
      <xdr:colOff>115050</xdr:colOff>
      <xdr:row>220</xdr:row>
      <xdr:rowOff>135847</xdr:rowOff>
    </xdr:to>
    <xdr:pic>
      <xdr:nvPicPr>
        <xdr:cNvPr id="49" name="Picture 48">
          <a:extLst>
            <a:ext uri="{FF2B5EF4-FFF2-40B4-BE49-F238E27FC236}">
              <a16:creationId xmlns:a16="http://schemas.microsoft.com/office/drawing/2014/main" id="{3010D8F2-AF78-5ACF-338C-69E015E5C921}"/>
            </a:ext>
          </a:extLst>
        </xdr:cNvPr>
        <xdr:cNvPicPr>
          <a:picLocks/>
        </xdr:cNvPicPr>
      </xdr:nvPicPr>
      <xdr:blipFill>
        <a:blip xmlns:r="http://schemas.openxmlformats.org/officeDocument/2006/relationships" r:link="rId24"/>
        <a:stretch>
          <a:fillRect/>
        </a:stretch>
      </xdr:blipFill>
      <xdr:spPr>
        <a:xfrm rot="5400000">
          <a:off x="3747292" y="47548800"/>
          <a:ext cx="2525715" cy="3240000"/>
        </a:xfrm>
        <a:prstGeom prst="rect">
          <a:avLst/>
        </a:prstGeom>
      </xdr:spPr>
    </xdr:pic>
    <xdr:clientData/>
  </xdr:twoCellAnchor>
  <xdr:twoCellAnchor editAs="oneCell">
    <xdr:from>
      <xdr:col>0</xdr:col>
      <xdr:colOff>0</xdr:colOff>
      <xdr:row>229</xdr:row>
      <xdr:rowOff>128542</xdr:rowOff>
    </xdr:from>
    <xdr:to>
      <xdr:col>5</xdr:col>
      <xdr:colOff>39600</xdr:colOff>
      <xdr:row>240</xdr:row>
      <xdr:rowOff>132037</xdr:rowOff>
    </xdr:to>
    <xdr:pic>
      <xdr:nvPicPr>
        <xdr:cNvPr id="51" name="Picture 50">
          <a:extLst>
            <a:ext uri="{FF2B5EF4-FFF2-40B4-BE49-F238E27FC236}">
              <a16:creationId xmlns:a16="http://schemas.microsoft.com/office/drawing/2014/main" id="{97F44EE5-90C5-4BA7-154F-0BA013931F5D}"/>
            </a:ext>
          </a:extLst>
        </xdr:cNvPr>
        <xdr:cNvPicPr>
          <a:picLocks/>
        </xdr:cNvPicPr>
      </xdr:nvPicPr>
      <xdr:blipFill>
        <a:blip xmlns:r="http://schemas.openxmlformats.org/officeDocument/2006/relationships" r:link="rId25"/>
        <a:stretch>
          <a:fillRect/>
        </a:stretch>
      </xdr:blipFill>
      <xdr:spPr>
        <a:xfrm rot="5400000">
          <a:off x="357142" y="52120800"/>
          <a:ext cx="2525715" cy="3240000"/>
        </a:xfrm>
        <a:prstGeom prst="rect">
          <a:avLst/>
        </a:prstGeom>
      </xdr:spPr>
    </xdr:pic>
    <xdr:clientData/>
  </xdr:twoCellAnchor>
  <xdr:twoCellAnchor editAs="oneCell">
    <xdr:from>
      <xdr:col>5</xdr:col>
      <xdr:colOff>189750</xdr:colOff>
      <xdr:row>229</xdr:row>
      <xdr:rowOff>128542</xdr:rowOff>
    </xdr:from>
    <xdr:to>
      <xdr:col>9</xdr:col>
      <xdr:colOff>115050</xdr:colOff>
      <xdr:row>240</xdr:row>
      <xdr:rowOff>135847</xdr:rowOff>
    </xdr:to>
    <xdr:pic>
      <xdr:nvPicPr>
        <xdr:cNvPr id="53" name="Picture 52">
          <a:extLst>
            <a:ext uri="{FF2B5EF4-FFF2-40B4-BE49-F238E27FC236}">
              <a16:creationId xmlns:a16="http://schemas.microsoft.com/office/drawing/2014/main" id="{33AEF368-CDF5-06B3-B323-0E03B92C2713}"/>
            </a:ext>
          </a:extLst>
        </xdr:cNvPr>
        <xdr:cNvPicPr>
          <a:picLocks/>
        </xdr:cNvPicPr>
      </xdr:nvPicPr>
      <xdr:blipFill>
        <a:blip xmlns:r="http://schemas.openxmlformats.org/officeDocument/2006/relationships" r:link="rId26"/>
        <a:stretch>
          <a:fillRect/>
        </a:stretch>
      </xdr:blipFill>
      <xdr:spPr>
        <a:xfrm rot="5400000">
          <a:off x="3747292" y="52120800"/>
          <a:ext cx="2525715" cy="3240000"/>
        </a:xfrm>
        <a:prstGeom prst="rect">
          <a:avLst/>
        </a:prstGeom>
      </xdr:spPr>
    </xdr:pic>
    <xdr:clientData/>
  </xdr:twoCellAnchor>
  <xdr:twoCellAnchor editAs="oneCell">
    <xdr:from>
      <xdr:col>0</xdr:col>
      <xdr:colOff>0</xdr:colOff>
      <xdr:row>246</xdr:row>
      <xdr:rowOff>128542</xdr:rowOff>
    </xdr:from>
    <xdr:to>
      <xdr:col>5</xdr:col>
      <xdr:colOff>39600</xdr:colOff>
      <xdr:row>257</xdr:row>
      <xdr:rowOff>132037</xdr:rowOff>
    </xdr:to>
    <xdr:pic>
      <xdr:nvPicPr>
        <xdr:cNvPr id="55" name="Picture 54">
          <a:extLst>
            <a:ext uri="{FF2B5EF4-FFF2-40B4-BE49-F238E27FC236}">
              <a16:creationId xmlns:a16="http://schemas.microsoft.com/office/drawing/2014/main" id="{DA9CEF60-4190-779A-0EF5-549C64E6485A}"/>
            </a:ext>
          </a:extLst>
        </xdr:cNvPr>
        <xdr:cNvPicPr>
          <a:picLocks/>
        </xdr:cNvPicPr>
      </xdr:nvPicPr>
      <xdr:blipFill>
        <a:blip xmlns:r="http://schemas.openxmlformats.org/officeDocument/2006/relationships" r:link="rId27"/>
        <a:stretch>
          <a:fillRect/>
        </a:stretch>
      </xdr:blipFill>
      <xdr:spPr>
        <a:xfrm rot="5400000">
          <a:off x="357142" y="56007000"/>
          <a:ext cx="2525715" cy="3240000"/>
        </a:xfrm>
        <a:prstGeom prst="rect">
          <a:avLst/>
        </a:prstGeom>
      </xdr:spPr>
    </xdr:pic>
    <xdr:clientData/>
  </xdr:twoCellAnchor>
  <xdr:twoCellAnchor editAs="oneCell">
    <xdr:from>
      <xdr:col>5</xdr:col>
      <xdr:colOff>189750</xdr:colOff>
      <xdr:row>246</xdr:row>
      <xdr:rowOff>128542</xdr:rowOff>
    </xdr:from>
    <xdr:to>
      <xdr:col>9</xdr:col>
      <xdr:colOff>115050</xdr:colOff>
      <xdr:row>257</xdr:row>
      <xdr:rowOff>135847</xdr:rowOff>
    </xdr:to>
    <xdr:pic>
      <xdr:nvPicPr>
        <xdr:cNvPr id="57" name="Picture 56">
          <a:extLst>
            <a:ext uri="{FF2B5EF4-FFF2-40B4-BE49-F238E27FC236}">
              <a16:creationId xmlns:a16="http://schemas.microsoft.com/office/drawing/2014/main" id="{12411377-2095-E1B1-73A2-15CEA6524FA7}"/>
            </a:ext>
          </a:extLst>
        </xdr:cNvPr>
        <xdr:cNvPicPr>
          <a:picLocks/>
        </xdr:cNvPicPr>
      </xdr:nvPicPr>
      <xdr:blipFill>
        <a:blip xmlns:r="http://schemas.openxmlformats.org/officeDocument/2006/relationships" r:link="rId28"/>
        <a:stretch>
          <a:fillRect/>
        </a:stretch>
      </xdr:blipFill>
      <xdr:spPr>
        <a:xfrm rot="5400000">
          <a:off x="3747292" y="56007000"/>
          <a:ext cx="2525715" cy="3240000"/>
        </a:xfrm>
        <a:prstGeom prst="rect">
          <a:avLst/>
        </a:prstGeom>
      </xdr:spPr>
    </xdr:pic>
    <xdr:clientData/>
  </xdr:twoCellAnchor>
  <xdr:twoCellAnchor editAs="oneCell">
    <xdr:from>
      <xdr:col>0</xdr:col>
      <xdr:colOff>0</xdr:colOff>
      <xdr:row>266</xdr:row>
      <xdr:rowOff>128542</xdr:rowOff>
    </xdr:from>
    <xdr:to>
      <xdr:col>5</xdr:col>
      <xdr:colOff>39600</xdr:colOff>
      <xdr:row>277</xdr:row>
      <xdr:rowOff>132037</xdr:rowOff>
    </xdr:to>
    <xdr:pic>
      <xdr:nvPicPr>
        <xdr:cNvPr id="59" name="Picture 58">
          <a:extLst>
            <a:ext uri="{FF2B5EF4-FFF2-40B4-BE49-F238E27FC236}">
              <a16:creationId xmlns:a16="http://schemas.microsoft.com/office/drawing/2014/main" id="{4610E603-B83C-8E74-4387-71FB70382270}"/>
            </a:ext>
          </a:extLst>
        </xdr:cNvPr>
        <xdr:cNvPicPr>
          <a:picLocks/>
        </xdr:cNvPicPr>
      </xdr:nvPicPr>
      <xdr:blipFill>
        <a:blip xmlns:r="http://schemas.openxmlformats.org/officeDocument/2006/relationships" r:link="rId29"/>
        <a:stretch>
          <a:fillRect/>
        </a:stretch>
      </xdr:blipFill>
      <xdr:spPr>
        <a:xfrm rot="5400000">
          <a:off x="357142" y="60579000"/>
          <a:ext cx="2525715" cy="3240000"/>
        </a:xfrm>
        <a:prstGeom prst="rect">
          <a:avLst/>
        </a:prstGeom>
      </xdr:spPr>
    </xdr:pic>
    <xdr:clientData/>
  </xdr:twoCellAnchor>
  <xdr:twoCellAnchor editAs="oneCell">
    <xdr:from>
      <xdr:col>5</xdr:col>
      <xdr:colOff>189750</xdr:colOff>
      <xdr:row>266</xdr:row>
      <xdr:rowOff>128542</xdr:rowOff>
    </xdr:from>
    <xdr:to>
      <xdr:col>9</xdr:col>
      <xdr:colOff>115050</xdr:colOff>
      <xdr:row>277</xdr:row>
      <xdr:rowOff>135847</xdr:rowOff>
    </xdr:to>
    <xdr:pic>
      <xdr:nvPicPr>
        <xdr:cNvPr id="61" name="Picture 60">
          <a:extLst>
            <a:ext uri="{FF2B5EF4-FFF2-40B4-BE49-F238E27FC236}">
              <a16:creationId xmlns:a16="http://schemas.microsoft.com/office/drawing/2014/main" id="{5F8E107B-E91F-ACFA-598B-D171379FDD65}"/>
            </a:ext>
          </a:extLst>
        </xdr:cNvPr>
        <xdr:cNvPicPr>
          <a:picLocks/>
        </xdr:cNvPicPr>
      </xdr:nvPicPr>
      <xdr:blipFill>
        <a:blip xmlns:r="http://schemas.openxmlformats.org/officeDocument/2006/relationships" r:link="rId30"/>
        <a:stretch>
          <a:fillRect/>
        </a:stretch>
      </xdr:blipFill>
      <xdr:spPr>
        <a:xfrm rot="5400000">
          <a:off x="3747292" y="60579000"/>
          <a:ext cx="2525715" cy="3240000"/>
        </a:xfrm>
        <a:prstGeom prst="rect">
          <a:avLst/>
        </a:prstGeom>
      </xdr:spPr>
    </xdr:pic>
    <xdr:clientData/>
  </xdr:twoCellAnchor>
  <xdr:twoCellAnchor editAs="oneCell">
    <xdr:from>
      <xdr:col>0</xdr:col>
      <xdr:colOff>0</xdr:colOff>
      <xdr:row>283</xdr:row>
      <xdr:rowOff>128542</xdr:rowOff>
    </xdr:from>
    <xdr:to>
      <xdr:col>5</xdr:col>
      <xdr:colOff>39600</xdr:colOff>
      <xdr:row>294</xdr:row>
      <xdr:rowOff>132037</xdr:rowOff>
    </xdr:to>
    <xdr:pic>
      <xdr:nvPicPr>
        <xdr:cNvPr id="63" name="Picture 62">
          <a:extLst>
            <a:ext uri="{FF2B5EF4-FFF2-40B4-BE49-F238E27FC236}">
              <a16:creationId xmlns:a16="http://schemas.microsoft.com/office/drawing/2014/main" id="{1A2BB702-44FA-4334-30A0-DDB4CCFD5688}"/>
            </a:ext>
          </a:extLst>
        </xdr:cNvPr>
        <xdr:cNvPicPr>
          <a:picLocks/>
        </xdr:cNvPicPr>
      </xdr:nvPicPr>
      <xdr:blipFill>
        <a:blip xmlns:r="http://schemas.openxmlformats.org/officeDocument/2006/relationships" r:link="rId31"/>
        <a:stretch>
          <a:fillRect/>
        </a:stretch>
      </xdr:blipFill>
      <xdr:spPr>
        <a:xfrm rot="5400000">
          <a:off x="357142" y="64465200"/>
          <a:ext cx="2525715" cy="3240000"/>
        </a:xfrm>
        <a:prstGeom prst="rect">
          <a:avLst/>
        </a:prstGeom>
      </xdr:spPr>
    </xdr:pic>
    <xdr:clientData/>
  </xdr:twoCellAnchor>
  <xdr:twoCellAnchor editAs="oneCell">
    <xdr:from>
      <xdr:col>0</xdr:col>
      <xdr:colOff>0</xdr:colOff>
      <xdr:row>303</xdr:row>
      <xdr:rowOff>128542</xdr:rowOff>
    </xdr:from>
    <xdr:to>
      <xdr:col>5</xdr:col>
      <xdr:colOff>39600</xdr:colOff>
      <xdr:row>314</xdr:row>
      <xdr:rowOff>135847</xdr:rowOff>
    </xdr:to>
    <xdr:pic>
      <xdr:nvPicPr>
        <xdr:cNvPr id="449" name="Picture 448">
          <a:extLst>
            <a:ext uri="{FF2B5EF4-FFF2-40B4-BE49-F238E27FC236}">
              <a16:creationId xmlns:a16="http://schemas.microsoft.com/office/drawing/2014/main" id="{0CABB18C-3242-AD80-1C50-69959F5AA168}"/>
            </a:ext>
          </a:extLst>
        </xdr:cNvPr>
        <xdr:cNvPicPr>
          <a:picLocks/>
        </xdr:cNvPicPr>
      </xdr:nvPicPr>
      <xdr:blipFill>
        <a:blip xmlns:r="http://schemas.openxmlformats.org/officeDocument/2006/relationships" r:link="rId32"/>
        <a:stretch>
          <a:fillRect/>
        </a:stretch>
      </xdr:blipFill>
      <xdr:spPr>
        <a:xfrm rot="5400000">
          <a:off x="357142" y="69037200"/>
          <a:ext cx="2525715" cy="3240000"/>
        </a:xfrm>
        <a:prstGeom prst="rect">
          <a:avLst/>
        </a:prstGeom>
      </xdr:spPr>
    </xdr:pic>
    <xdr:clientData/>
  </xdr:twoCellAnchor>
  <xdr:twoCellAnchor editAs="oneCell">
    <xdr:from>
      <xdr:col>5</xdr:col>
      <xdr:colOff>189750</xdr:colOff>
      <xdr:row>303</xdr:row>
      <xdr:rowOff>128542</xdr:rowOff>
    </xdr:from>
    <xdr:to>
      <xdr:col>9</xdr:col>
      <xdr:colOff>115050</xdr:colOff>
      <xdr:row>314</xdr:row>
      <xdr:rowOff>132037</xdr:rowOff>
    </xdr:to>
    <xdr:pic>
      <xdr:nvPicPr>
        <xdr:cNvPr id="451" name="Picture 450">
          <a:extLst>
            <a:ext uri="{FF2B5EF4-FFF2-40B4-BE49-F238E27FC236}">
              <a16:creationId xmlns:a16="http://schemas.microsoft.com/office/drawing/2014/main" id="{3510751B-BD8C-0D41-0947-8D33A97A3E54}"/>
            </a:ext>
          </a:extLst>
        </xdr:cNvPr>
        <xdr:cNvPicPr>
          <a:picLocks/>
        </xdr:cNvPicPr>
      </xdr:nvPicPr>
      <xdr:blipFill>
        <a:blip xmlns:r="http://schemas.openxmlformats.org/officeDocument/2006/relationships" r:link="rId33"/>
        <a:stretch>
          <a:fillRect/>
        </a:stretch>
      </xdr:blipFill>
      <xdr:spPr>
        <a:xfrm rot="5400000">
          <a:off x="3747292" y="69037200"/>
          <a:ext cx="2525715" cy="3240000"/>
        </a:xfrm>
        <a:prstGeom prst="rect">
          <a:avLst/>
        </a:prstGeom>
      </xdr:spPr>
    </xdr:pic>
    <xdr:clientData/>
  </xdr:twoCellAnchor>
  <xdr:twoCellAnchor editAs="oneCell">
    <xdr:from>
      <xdr:col>0</xdr:col>
      <xdr:colOff>0</xdr:colOff>
      <xdr:row>320</xdr:row>
      <xdr:rowOff>128542</xdr:rowOff>
    </xdr:from>
    <xdr:to>
      <xdr:col>5</xdr:col>
      <xdr:colOff>39600</xdr:colOff>
      <xdr:row>331</xdr:row>
      <xdr:rowOff>135847</xdr:rowOff>
    </xdr:to>
    <xdr:pic>
      <xdr:nvPicPr>
        <xdr:cNvPr id="453" name="Picture 452">
          <a:extLst>
            <a:ext uri="{FF2B5EF4-FFF2-40B4-BE49-F238E27FC236}">
              <a16:creationId xmlns:a16="http://schemas.microsoft.com/office/drawing/2014/main" id="{E2899574-0AF2-9F25-2483-559DE96F2A16}"/>
            </a:ext>
          </a:extLst>
        </xdr:cNvPr>
        <xdr:cNvPicPr>
          <a:picLocks/>
        </xdr:cNvPicPr>
      </xdr:nvPicPr>
      <xdr:blipFill>
        <a:blip xmlns:r="http://schemas.openxmlformats.org/officeDocument/2006/relationships" r:link="rId34"/>
        <a:stretch>
          <a:fillRect/>
        </a:stretch>
      </xdr:blipFill>
      <xdr:spPr>
        <a:xfrm rot="16200000">
          <a:off x="357142" y="72923400"/>
          <a:ext cx="2525715" cy="3240000"/>
        </a:xfrm>
        <a:prstGeom prst="rect">
          <a:avLst/>
        </a:prstGeom>
      </xdr:spPr>
    </xdr:pic>
    <xdr:clientData/>
  </xdr:twoCellAnchor>
  <xdr:twoCellAnchor editAs="oneCell">
    <xdr:from>
      <xdr:col>5</xdr:col>
      <xdr:colOff>189750</xdr:colOff>
      <xdr:row>320</xdr:row>
      <xdr:rowOff>128542</xdr:rowOff>
    </xdr:from>
    <xdr:to>
      <xdr:col>9</xdr:col>
      <xdr:colOff>115050</xdr:colOff>
      <xdr:row>331</xdr:row>
      <xdr:rowOff>132037</xdr:rowOff>
    </xdr:to>
    <xdr:pic>
      <xdr:nvPicPr>
        <xdr:cNvPr id="455" name="Picture 454">
          <a:extLst>
            <a:ext uri="{FF2B5EF4-FFF2-40B4-BE49-F238E27FC236}">
              <a16:creationId xmlns:a16="http://schemas.microsoft.com/office/drawing/2014/main" id="{5EC1E933-BBD8-BFDE-9A45-B3D56AEEC3D3}"/>
            </a:ext>
          </a:extLst>
        </xdr:cNvPr>
        <xdr:cNvPicPr>
          <a:picLocks/>
        </xdr:cNvPicPr>
      </xdr:nvPicPr>
      <xdr:blipFill>
        <a:blip xmlns:r="http://schemas.openxmlformats.org/officeDocument/2006/relationships" r:link="rId35"/>
        <a:stretch>
          <a:fillRect/>
        </a:stretch>
      </xdr:blipFill>
      <xdr:spPr>
        <a:xfrm rot="5400000">
          <a:off x="3747292" y="72923400"/>
          <a:ext cx="2525715" cy="3240000"/>
        </a:xfrm>
        <a:prstGeom prst="rect">
          <a:avLst/>
        </a:prstGeom>
      </xdr:spPr>
    </xdr:pic>
    <xdr:clientData/>
  </xdr:twoCellAnchor>
  <xdr:twoCellAnchor editAs="oneCell">
    <xdr:from>
      <xdr:col>0</xdr:col>
      <xdr:colOff>132555</xdr:colOff>
      <xdr:row>339</xdr:row>
      <xdr:rowOff>0</xdr:rowOff>
    </xdr:from>
    <xdr:to>
      <xdr:col>4</xdr:col>
      <xdr:colOff>168435</xdr:colOff>
      <xdr:row>353</xdr:row>
      <xdr:rowOff>39600</xdr:rowOff>
    </xdr:to>
    <xdr:pic>
      <xdr:nvPicPr>
        <xdr:cNvPr id="457" name="Picture 456">
          <a:extLst>
            <a:ext uri="{FF2B5EF4-FFF2-40B4-BE49-F238E27FC236}">
              <a16:creationId xmlns:a16="http://schemas.microsoft.com/office/drawing/2014/main" id="{3AD67757-E6A7-5C28-8C31-26E3B4EC29B9}"/>
            </a:ext>
          </a:extLst>
        </xdr:cNvPr>
        <xdr:cNvPicPr>
          <a:picLocks/>
        </xdr:cNvPicPr>
      </xdr:nvPicPr>
      <xdr:blipFill>
        <a:blip xmlns:r="http://schemas.openxmlformats.org/officeDocument/2006/relationships" r:link="rId36"/>
        <a:stretch>
          <a:fillRect/>
        </a:stretch>
      </xdr:blipFill>
      <xdr:spPr>
        <a:xfrm rot="10800000">
          <a:off x="132555" y="77495400"/>
          <a:ext cx="2516190" cy="3240000"/>
        </a:xfrm>
        <a:prstGeom prst="rect">
          <a:avLst/>
        </a:prstGeom>
      </xdr:spPr>
    </xdr:pic>
    <xdr:clientData/>
  </xdr:twoCellAnchor>
  <xdr:twoCellAnchor editAs="oneCell">
    <xdr:from>
      <xdr:col>5</xdr:col>
      <xdr:colOff>189750</xdr:colOff>
      <xdr:row>340</xdr:row>
      <xdr:rowOff>128542</xdr:rowOff>
    </xdr:from>
    <xdr:to>
      <xdr:col>9</xdr:col>
      <xdr:colOff>115050</xdr:colOff>
      <xdr:row>351</xdr:row>
      <xdr:rowOff>132037</xdr:rowOff>
    </xdr:to>
    <xdr:pic>
      <xdr:nvPicPr>
        <xdr:cNvPr id="459" name="Picture 458">
          <a:extLst>
            <a:ext uri="{FF2B5EF4-FFF2-40B4-BE49-F238E27FC236}">
              <a16:creationId xmlns:a16="http://schemas.microsoft.com/office/drawing/2014/main" id="{30F8DEE7-DD4B-88DC-4B6A-C3708B66735A}"/>
            </a:ext>
          </a:extLst>
        </xdr:cNvPr>
        <xdr:cNvPicPr>
          <a:picLocks/>
        </xdr:cNvPicPr>
      </xdr:nvPicPr>
      <xdr:blipFill>
        <a:blip xmlns:r="http://schemas.openxmlformats.org/officeDocument/2006/relationships" r:link="rId37"/>
        <a:stretch>
          <a:fillRect/>
        </a:stretch>
      </xdr:blipFill>
      <xdr:spPr>
        <a:xfrm rot="5400000">
          <a:off x="3747292" y="77495400"/>
          <a:ext cx="2525715" cy="3240000"/>
        </a:xfrm>
        <a:prstGeom prst="rect">
          <a:avLst/>
        </a:prstGeom>
      </xdr:spPr>
    </xdr:pic>
    <xdr:clientData/>
  </xdr:twoCellAnchor>
  <xdr:twoCellAnchor editAs="oneCell">
    <xdr:from>
      <xdr:col>0</xdr:col>
      <xdr:colOff>0</xdr:colOff>
      <xdr:row>357</xdr:row>
      <xdr:rowOff>128542</xdr:rowOff>
    </xdr:from>
    <xdr:to>
      <xdr:col>5</xdr:col>
      <xdr:colOff>39600</xdr:colOff>
      <xdr:row>368</xdr:row>
      <xdr:rowOff>135847</xdr:rowOff>
    </xdr:to>
    <xdr:pic>
      <xdr:nvPicPr>
        <xdr:cNvPr id="462" name="Picture 461">
          <a:extLst>
            <a:ext uri="{FF2B5EF4-FFF2-40B4-BE49-F238E27FC236}">
              <a16:creationId xmlns:a16="http://schemas.microsoft.com/office/drawing/2014/main" id="{64DA8A9F-8C96-C079-8C77-DEA0ABB7AFF1}"/>
            </a:ext>
          </a:extLst>
        </xdr:cNvPr>
        <xdr:cNvPicPr>
          <a:picLocks/>
        </xdr:cNvPicPr>
      </xdr:nvPicPr>
      <xdr:blipFill>
        <a:blip xmlns:r="http://schemas.openxmlformats.org/officeDocument/2006/relationships" r:link="rId38"/>
        <a:stretch>
          <a:fillRect/>
        </a:stretch>
      </xdr:blipFill>
      <xdr:spPr>
        <a:xfrm rot="5400000">
          <a:off x="357142" y="81381600"/>
          <a:ext cx="2525715" cy="3240000"/>
        </a:xfrm>
        <a:prstGeom prst="rect">
          <a:avLst/>
        </a:prstGeom>
      </xdr:spPr>
    </xdr:pic>
    <xdr:clientData/>
  </xdr:twoCellAnchor>
  <xdr:twoCellAnchor editAs="oneCell">
    <xdr:from>
      <xdr:col>5</xdr:col>
      <xdr:colOff>189750</xdr:colOff>
      <xdr:row>357</xdr:row>
      <xdr:rowOff>128542</xdr:rowOff>
    </xdr:from>
    <xdr:to>
      <xdr:col>9</xdr:col>
      <xdr:colOff>115050</xdr:colOff>
      <xdr:row>368</xdr:row>
      <xdr:rowOff>132037</xdr:rowOff>
    </xdr:to>
    <xdr:pic>
      <xdr:nvPicPr>
        <xdr:cNvPr id="466" name="Picture 465">
          <a:extLst>
            <a:ext uri="{FF2B5EF4-FFF2-40B4-BE49-F238E27FC236}">
              <a16:creationId xmlns:a16="http://schemas.microsoft.com/office/drawing/2014/main" id="{E5E7DF34-AD9E-B2BF-5D11-319DA7A3618F}"/>
            </a:ext>
          </a:extLst>
        </xdr:cNvPr>
        <xdr:cNvPicPr>
          <a:picLocks/>
        </xdr:cNvPicPr>
      </xdr:nvPicPr>
      <xdr:blipFill>
        <a:blip xmlns:r="http://schemas.openxmlformats.org/officeDocument/2006/relationships" r:link="rId39"/>
        <a:stretch>
          <a:fillRect/>
        </a:stretch>
      </xdr:blipFill>
      <xdr:spPr>
        <a:xfrm rot="5400000">
          <a:off x="3747292" y="81381600"/>
          <a:ext cx="2525715" cy="3240000"/>
        </a:xfrm>
        <a:prstGeom prst="rect">
          <a:avLst/>
        </a:prstGeom>
      </xdr:spPr>
    </xdr:pic>
    <xdr:clientData/>
  </xdr:twoCellAnchor>
  <xdr:twoCellAnchor editAs="oneCell">
    <xdr:from>
      <xdr:col>0</xdr:col>
      <xdr:colOff>0</xdr:colOff>
      <xdr:row>377</xdr:row>
      <xdr:rowOff>128542</xdr:rowOff>
    </xdr:from>
    <xdr:to>
      <xdr:col>5</xdr:col>
      <xdr:colOff>39600</xdr:colOff>
      <xdr:row>388</xdr:row>
      <xdr:rowOff>135847</xdr:rowOff>
    </xdr:to>
    <xdr:pic>
      <xdr:nvPicPr>
        <xdr:cNvPr id="470" name="Picture 469">
          <a:extLst>
            <a:ext uri="{FF2B5EF4-FFF2-40B4-BE49-F238E27FC236}">
              <a16:creationId xmlns:a16="http://schemas.microsoft.com/office/drawing/2014/main" id="{809F5E66-A736-2DDB-D3F4-B36F7343DAC3}"/>
            </a:ext>
          </a:extLst>
        </xdr:cNvPr>
        <xdr:cNvPicPr>
          <a:picLocks/>
        </xdr:cNvPicPr>
      </xdr:nvPicPr>
      <xdr:blipFill>
        <a:blip xmlns:r="http://schemas.openxmlformats.org/officeDocument/2006/relationships" r:link="rId40"/>
        <a:stretch>
          <a:fillRect/>
        </a:stretch>
      </xdr:blipFill>
      <xdr:spPr>
        <a:xfrm rot="5400000">
          <a:off x="357142" y="85953600"/>
          <a:ext cx="2525715" cy="3240000"/>
        </a:xfrm>
        <a:prstGeom prst="rect">
          <a:avLst/>
        </a:prstGeom>
      </xdr:spPr>
    </xdr:pic>
    <xdr:clientData/>
  </xdr:twoCellAnchor>
  <xdr:twoCellAnchor editAs="oneCell">
    <xdr:from>
      <xdr:col>5</xdr:col>
      <xdr:colOff>189750</xdr:colOff>
      <xdr:row>377</xdr:row>
      <xdr:rowOff>128542</xdr:rowOff>
    </xdr:from>
    <xdr:to>
      <xdr:col>9</xdr:col>
      <xdr:colOff>115050</xdr:colOff>
      <xdr:row>388</xdr:row>
      <xdr:rowOff>132037</xdr:rowOff>
    </xdr:to>
    <xdr:pic>
      <xdr:nvPicPr>
        <xdr:cNvPr id="474" name="Picture 473">
          <a:extLst>
            <a:ext uri="{FF2B5EF4-FFF2-40B4-BE49-F238E27FC236}">
              <a16:creationId xmlns:a16="http://schemas.microsoft.com/office/drawing/2014/main" id="{BE9D20A3-C148-98D3-0827-4A97DAA379E3}"/>
            </a:ext>
          </a:extLst>
        </xdr:cNvPr>
        <xdr:cNvPicPr>
          <a:picLocks/>
        </xdr:cNvPicPr>
      </xdr:nvPicPr>
      <xdr:blipFill>
        <a:blip xmlns:r="http://schemas.openxmlformats.org/officeDocument/2006/relationships" r:link="rId41"/>
        <a:stretch>
          <a:fillRect/>
        </a:stretch>
      </xdr:blipFill>
      <xdr:spPr>
        <a:xfrm rot="5400000">
          <a:off x="3747292" y="85953600"/>
          <a:ext cx="2525715" cy="3240000"/>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3-11T01:00:27.952"/>
    </inkml:context>
    <inkml:brush xml:id="br0">
      <inkml:brushProperty name="width" value="0.1" units="cm"/>
      <inkml:brushProperty name="height" value="0.1" units="cm"/>
    </inkml:brush>
  </inkml:definitions>
  <inkml:trace contextRef="#ctx0" brushRef="#br0">861 0 8192,'-22'1'1058,"1"1"0,-1 1 0,1 1 0,0 0 0,0 3 0,0-1 0,-25 13 1,-4 5 442,-75 52 1,106-65-1502,1 3 0,0 0 0,-27 27 0,36-32 0,1 1 0,1 0 0,0 0 0,0 1 0,1 0 0,0 0 0,1 1 0,-5 15 0,-14 56-2757,4 1 1,4 1-1,-8 104 0,23-176 2547,0-3 142,0 1 1,1-1-1,0 0 0,1 11 0,0-18 74,-1 0-1,1 0 1,0-1 0,0 1-1,0 1 1,0-2 0,0 1-1,1 0 1,-1-1 0,1 0-1,-1 1 1,1-1 0,0 0-1,0 0 1,0 0 0,0 0-1,0 1 1,5 1 0,3 2-6,1-1 0,0-1 0,0 0 0,0-1 0,0 1 0,20 2 0,76 3 0,-74-8 0,245 4 0,-71-4 0,-200 0 573,0-1 1,2 1-1,-2 0 0,0 0 1,0 2-1,0-2 1,-1 2-1,1-1 1,10 6-1,-14-6-324,-1 0 1,1 0-1,0 0 0,-1 0 1,0 0-1,1 2 0,-1-2 0,0 1 1,0 0-1,0-1 0,-1 1 1,1 0-1,-1 0 0,0 0 1,1 0-1,-1 2 0,-1-2 1,1 0-1,0 0 0,-1 1 1,0-1-1,1 6 0,-2 0-373,0 0 1,0-1-1,-1 2 0,0-2 0,-1 0 0,1 2 1,-2-2-1,1-1 0,-1 1 0,0 1 1,-1-2-1,-7 10 0,-2 1-93,1-1 1,-2-1-1,-33 27 0,34-32 326,-1-1-1,0 0 0,-1-2 0,0 0 0,-1 0 0,0-1 0,-18 4 0,4-4-516,1 1-1,-1-4 0,-40 2 0,40-7 2467,27 1-2203,1-1 0,0 0 0,-1 0 0,1 0 0,0 0 0,-1 0 0,1-1 0,0 1 0,0-1 0,0-1 0,1 1 1,-1 0-1,0 0 0,1-1 0,-1 1 0,-2-4 0,-10-18 2468,6 6-2482,1 1 0,0-2 0,2 1 0,0-1 0,1-1 0,-5-30 0,7 20-725,1 1 0,1-1-1,7-58 1,1 40-31,2 1 0,3 1 0,1-1 0,2 3 1,28-61-1,117-174 999,-119 213 391,-40 64 27,12-19 8603,-20 29-7803,-214 277-9147,-189 317 4222,364-526 3902,-76 90 1,119-163-22,0 2 0,0-1 0,0 0 0,1 0 0,-1 0-1,1 0 1,-2 9 0,3-13-85,1 1-1,0 0 1,0 0 0,0-1-1,0 1 1,0 0 0,0 0-1,0 0 1,0-1 0,0 1-1,0 0 1,0 0 0,0-1-1,1 1 1,-1 0 0,0 0-1,1-1 1,-1 1 0,0 0-1,1 0 1,0 0 16,1 0 1,-1 0-1,0 0 0,0-1 1,0 1-1,1 0 0,-1-1 1,0 1-1,1-1 0,-1 2 0,0-2 1,1 1-1,-1-1 0,1 0 1,1 0-1,11 1 276,1-1 1,0 0-1,-1-1 0,23-5 0,61-17-2244,-67 13 947,543-180-433,-429 126 2815,-143 63-1507,0 0 0,-1-1 0,1 1 0,0 0 0,-1-1 0,1 1 0,-1-1 0,0 1 0,1-1 0,-1 0 0,0 1 0,0-1-1,0 0 1,0 0 0,0 0 0,0 1 0,-1-1 0,1 0 0,-1-1 0,1 1 0,-1 0 0,0-1 0,1 1 0,-1 0 0,0 0 0,-1 0 0,1 0 0,0 0 0,-1 0 0,1 0 0,-1-2 0,-3-10 159,0 3 1,0-2 0,-12-21 0,13 30-198,-42-82-2519,-89-124-1,-77-65-3705,173 226 6001,-1-4 219,-57-103 0,84 140 0,12 16 0,-1 0 0,1 0 0,0 0 0,0 0 0,0 0 0,-1 0 0,1 0 0,0 0 0,0 0 0,0 0 0,0 0 0,-1 0 0,1 0 0,0 0 0,0 0 0,0 0 0,0 1 0,-1-1 0,1 0 0,0 0 0,0 0 0,0 0 0,0 0 0,0 0 0,-1 1 0,1-1 0,0 0 0,0 0 0,0 0 0,0 0 0,0 1 0,0-1 0,0 0 0,0 0 0,0 0 0,0 0 0,0 1 0,0-1 0,0 0 0,0 0 0,0 0 0,0 1 0,0-1 0,0 0 0,0 0 0,2 44 0,68 285 0,-41-210 0,159 587 0,-181-684 374,17 44 3253,-22-62-3291,0 0-1,0 1 1,0-2-1,0 1 1,1-1-1,0 1 1,-1-1 0,1 0-1,1 0 1,0 0-1,-1 1 1,4 1-1,-6-5-245,0 1 0,1-1 0,-1 0 0,0 1 0,0-1 0,0 0 0,0 0 0,0 0 0,1 0 0,-1 0 0,0 0 0,0 0 0,0-1 0,0 1 0,0 0 0,0-1 0,1 1 0,-1 0 0,0-1 0,0 0 0,0 1 0,0-1 0,-1 1 0,1-1 0,0 0 0,0 0 0,1-2 0,21-27 494,-22 29-583,19-34 12,-2 0 1,-1-2-1,-2-1 0,18-66 0,8-20-574,-41 122 547,0 1 0,1 0 0,0-1-1,-1 0 1,1 1 0,0-1 0,-1 1 0,1 0 0,0 0 0,0 0-1,0-1 1,0 1 0,0 0 0,0 0 0,0 1 0,1-1 0,-1 0-1,0 0 1,0 0 0,1 1 0,-1-1 0,0 1 0,2-1 0,0 1 25,-1 0 1,0 0-1,0 0 1,0 0-1,0 1 1,0-1-1,0 1 1,0 0-1,0-1 1,0 1-1,0 0 1,0 0-1,0 0 1,2 2-1,7 5 151,0 2 0,-1 0 0,18 21-1,-24-26-146,16 20-263,1-1-1,2 0 1,0-2 0,27 19-1,-44-36 127,1-1-1,0 0 0,-1 1 0,2-1 0,-1-1 0,0 0 0,1-1 0,-1 0 0,1 0 0,-1 0 0,1-1 1,0 0-1,0-1 0,1 0 0,-1 0 0,0 0 0,-1-1 0,1-1 0,0 1 0,-1-1 0,14-5 1,-2-2-1776,0-3 0,0 1 1,25-22-1,-21 16 3330,30-18 0,-45 31-1490,-1 1 0,1 1 0,0-2 0,1 2 0,-1 0 0,-1 1 0,16-1 0,61 3-1813,-41 1 1410,149 18 461,-129-12 0,85 3 0,-130-12 0,0-2 0,-1 0 0,1 0 0,-1-1 0,0-1 0,-1-1 0,1 0 0,21-13 0,-22 12 0,0 0 0,1 1 0,-1 2 0,1 0 0,0 1 0,1 0 0,0 1 0,-1 1 0,0 1 0,1 1 0,-1 0 0,0 1 0,0 1 0,0 1 0,0 0 0,0 1 0,23 12 0,3 2 0,-11-4 0,66 20 0,-86-32 0,-1-1 0,1 1 0,0-1 0,0-2 0,0 1 0,0-1 0,-1-1 0,1 0 0,19-6 0,-23 4 0,-1 1 0,0-2 0,0 1 0,0-1 0,0 0 0,-1-1 0,0 0 0,0 0 0,1 0 0,-1-1 0,-1 1 0,0-2 0,0 1 0,0-1 0,-1 1 0,0-2 0,3-6 0,3-7 0,-1 1 0,-2-2 0,0 0 0,8-42 0,-10 37 0,-2-1 0,0 0 0,-2 0 0,-1 0 0,-1 0 0,-1 0 0,-2 1 0,-6-30 0,7 45 0,-1 0 0,0 0 0,0 1 0,-1-2 0,-1 3 0,0-1 0,0 0 0,-1 1 0,0 0 0,-1 0 0,0 1 0,-1 0 0,0-1 0,-1 3 0,1-1 0,-1 1 0,0-1 0,-1 2 0,0 0 0,-13-6 0,7 6 0,-1 1 0,1 1 0,-1 0 0,1 1 0,-1 1 0,0 1 0,0 0 0,-22 3 0,26-1 0,-1 1 0,1 0 0,0 1 0,1 1 0,0 0 0,0 1 0,0 1 0,0 0 0,1 1 0,0 0 0,-14 11 0,22-15 521,0 1 0,0 0 1,0 0-1,0 2 0,1-2 1,0 1-1,0-1 0,0 1 0,0 0 1,-2 9-1,4-13-396,1 0-1,0 1 1,-1-1 0,1 0-1,0 1 1,-1-1 0,1 0-1,0 1 1,0-1 0,0 1-1,0-1 1,1 0 0,-1 2-1,0-2 1,0 0-1,1 1 1,-1-1 0,1 0-1,-1 0 1,1 1 0,0-1-1,-1 0 1,1 0 0,0 0-1,0 0 1,0 0 0,0 0-1,0 0 1,0 0 0,0 0-1,0 0 1,0 0 0,0-1-1,1 1 1,-1-1 0,0 1-1,0-1 1,1 1 0,-1-1-1,0 1 1,1-1 0,-1 0-1,1 0 1,-1 0 0,2 0-1,9 2-124,1-1 0,-1 1 0,0-2 0,1-2 0,-1 1 0,0 0 0,0-1 0,1-1 0,-1 0 0,-1-1 0,1 0 0,0-1 0,0 0 0,-1-1 0,-1-1 0,1 1 0,-1-1 0,0-2 0,11-9 0,-8 5 0,0 1 0,-1-2 0,12-18 0,-19 26 0,-1-1 0,-1 0 0,1-1 0,-1 1 0,-1 0 0,1 0 0,-1-1 0,0 0 0,1-15 0,-2 16 0,0-3 0,0-2 0,0 2 0,-1 0 0,0-1 0,-1 0 0,0 1 0,-4-16 0,5 24 0,-1 1 0,0 0 0,1-2 0,-1 2 0,0 0 0,0 0 0,0 0 0,0 0 0,0 0 0,0 0 0,0 0 0,0 0 0,-1 0 0,1 0 0,-3-1 0,-7-2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3-07T19:22:08.507"/>
    </inkml:context>
    <inkml:brush xml:id="br0">
      <inkml:brushProperty name="width" value="0.1" units="cm"/>
      <inkml:brushProperty name="height" value="0.1" units="cm"/>
    </inkml:brush>
  </inkml:definitions>
  <inkml:trace contextRef="#ctx0" brushRef="#br0">560 0 8192,'-15'1'1058,"2"1"0,-2 0 0,2 2 0,-1-1 0,0 3 0,1-1 0,-17 12 1,-3 4 442,-48 44 1,69-55-1502,0 2 0,1 0 0,-19 23 0,24-27 0,1 1 0,1-1 0,-1 1 0,1 1 0,0-1 0,0 1 0,1 0 0,-4 13 0,-8 49-2757,2 1 1,2 0-1,-4 91 0,14-153 2547,0-2 142,1 0 1,0 0-1,0-1 0,0 11 0,1-17 74,-1 1-1,1-1 1,-1 0 0,1 1-1,-1 0 1,1-1 0,0 0-1,0 1 1,0-1 0,0 0-1,0 0 1,0 0 0,0 0-1,1-1 1,-1 1 0,0 0-1,0 0 1,4 2 0,2 1-6,0-1 0,0 0 0,0-1 0,0 0 0,0 0 0,13 2 0,50 3 0,-49-7 0,160 3 0,-47-3 0,-129 0 573,-1-1 1,2 1-1,-1 0 0,-1 0 1,1 1-1,-1-1 1,0 2-1,1-1 1,6 4-1,-9-4-324,-1 0 1,1 0-1,0-1 0,-1 1 1,1 0-1,0 1 0,-1-1 0,0 1 1,1-1-1,-1 0 0,-1 1 1,2-1-1,-2 1 0,1-1 1,0 1-1,0 1 0,-1-1 1,1-1-1,-1 1 0,0 0 1,0 0-1,1 5 0,-2 0-373,1-1 1,-1 0-1,0 2 0,-1-2 0,0 0 0,1 1 1,-1-1-1,0-1 0,-1 1 0,0 1 1,0-2-1,-5 9 0,-1 0-93,1 0 1,-2-1-1,-21 23 0,22-27 326,-1-2-1,0 1 0,0-2 0,0 0 0,-1 0 0,-1-1 0,-10 3 0,2-3-516,0 1-1,0-3 0,-26 1 0,26-6 2467,17 1-2203,1-1 0,0 0 0,0 0 0,0 1 0,0-1 0,-1 0 0,1-1 0,0 1 0,0 0 0,0-2 0,1 1 1,-1 1-1,0-1 0,1-1 0,-1 1 0,-1-3 0,-7-15 2468,4 4-2482,1 1 0,0-1 0,1 0 0,0 0 0,1-1 0,-4-27 0,5 18-725,1 1 0,0-1-1,5-50 1,1 35-31,1 0 0,1 1 0,2 0 0,1 2 1,17-53-1,77-150 999,-77 184 391,-26 55 27,7-16 8603,-12 25-7803,-140 239-9147,-122 275 4222,236-456 3902,-49 79 1,77-142-22,0 3 0,0-2 0,0 1 0,0-1 0,1 1-1,-1-1 1,0 8 0,1-11-85,1 1-1,0 0 1,0 0 0,0-1-1,0 1 1,0 0 0,0-1-1,0 1 1,0-1 0,0 1-1,0 0 1,0 0 0,0-1-1,1 1 1,-1 0 0,0-1-1,0 0 1,0 1 0,0 0-1,1 0 1,0 0 16,0 0 1,0 0-1,-1 0 0,1-1 1,-1 0-1,2 1 0,-2-1 1,1 1-1,0-1 0,0 2 0,0-2 1,0 1-1,0-1 0,0 0 1,1 0-1,7 1 276,1-1 1,-1 0-1,1-1 0,14-4 0,39-15-2244,-43 11 947,353-155-433,-279 108 2815,-92 56-1507,-1-1 0,0-1 0,0 1 0,0 0 0,0-1 0,0 2 0,0-2 0,-1 1 0,2-1 0,-2 1 0,1 0 0,0-1-1,-1 0 1,1 0 0,0 1 0,-1 0 0,0-1 0,1 0 0,-1 0 0,1 0 0,-1 0 0,0 0 0,0 0 0,0 0 0,0 1 0,0-1 0,0 0 0,0 0 0,-1 1 0,1-1 0,-1-2 0,-1-8 159,-1 3 1,1-2 0,-9-19 0,9 27-198,-27-72-2519,-58-106-1,-50-57-3705,112 196 6001,0-4 219,-37-89 0,54 121 0,8 14 0,-1 0 0,1 0 0,0 0 0,0 0 0,0 0 0,-1 0 0,1 0 0,0 0 0,0 0 0,0 0 0,0 0 0,0 0 0,0 0 0,0 0 0,0 0 0,0 0 0,0 1 0,-1-1 0,1 0 0,0 0 0,0 0 0,0 0 0,0 0 0,0 0 0,-1 1 0,1-1 0,0 0 0,0 0 0,0 0 0,0 0 0,0 1 0,0-1 0,0 0 0,0 0 0,0 0 0,0 0 0,0 1 0,0-1 0,0 0 0,0 0 0,0 0 0,0 0 0,0 0 0,0 0 0,0 0 0,2 38 0,43 247 0,-26-182 0,103 507 0,-117-591 374,10 38 3253,-13-53-3291,-1-1-1,0 2 1,1-3-1,-1 2 1,1-2-1,0 2 1,-1-2 0,1 1-1,1 0 1,-1-1-1,0 2 1,3 0-1,-5-4-245,1 1 0,0-1 0,0 0 0,0 1 0,-1-1 0,1 0 0,-1 0 0,1 0 0,0 0 0,0 0 0,0 0 0,-1 0 0,1-1 0,0 1 0,-1 0 0,1-1 0,0 1 0,0 0 0,0-1 0,-1 0 0,1 1 0,0-1 0,-1 1 0,0-1 0,1 1 0,-1-1 0,2-2 0,13-23 494,-15 25-583,13-29 12,-1 0 1,-1-2-1,-1-1 0,11-57 0,6-17-574,-27 105 547,0 1 0,1 0 0,-1 0-1,0-1 1,1 1 0,0-1 0,-1 1 0,0 1 0,1-1 0,-1 0-1,1-1 1,0 1 0,-1 0 0,1 1 0,0 0 0,0-1 0,0 0-1,-1 0 1,1 0 0,0 1 0,0-1 0,0 1 0,0-1 0,1 1 25,0 0 1,-1 0-1,0 0 1,1 0-1,-1 1 1,0-1-1,1 1 1,-1 0-1,0-1 1,0 1-1,1 0 1,-1 0-1,0-1 1,2 3-1,4 4 151,0 2 0,0-1 0,11 19-1,-16-23-146,11 18-263,1-1-1,1-1 1,0-1 0,17 17-1,-28-32 127,1 0-1,-1-1 0,0 1 0,2 0 0,-2-1 0,1-1 0,0 0 0,-1 0 0,2-1 0,-2 1 0,1-1 1,1 0-1,-1-1 0,1 0 0,-1 0 0,0 0 0,0-1 0,0-1 0,0 1 0,-1 0 0,10-5 1,-2-2-1776,1-3 0,-1 2 1,17-20-1,-14 15 3330,19-17 0,-29 28-1490,0 0 0,0 2 0,0-3 0,1 2 0,-1 1 0,0 0 0,10-1 0,39 3-1813,-26 1 1410,97 15 461,-84-10 0,55 2 0,-84-9 0,-1-3 0,0 0 0,1 1 0,-1-2 0,0 0 0,0-1 0,0 0 0,13-12 0,-13 11 0,-1 0 0,1 1 0,0 1 0,0 1 0,0 0 0,0 1 0,1 0 0,-1 1 0,0 1 0,1 1 0,-1 0 0,0 1 0,0 0 0,0 2 0,0-1 0,0 1 0,15 11 0,2 2 0,-7-4 0,42 17 0,-55-28 0,-1 0 0,1 1 0,0-2 0,0-1 0,-1 1 0,1-1 0,-1-1 0,1 1 0,12-6 0,-14 3 0,-2 1 0,1-1 0,-1 0 0,1 0 0,-1-1 0,0 0 0,0 0 0,0-1 0,1 1 0,-2-1 0,1 0 0,-1-1 0,0 1 0,0-1 0,0 1 0,0-2 0,1-5 0,3-6 0,-2 0 0,0-1 0,0 0 0,4-36 0,-5 32 0,-2-1 0,-1-1 0,0 1 0,-1 0 0,-1 0 0,0-1 0,-1 2 0,-5-26 0,5 38 0,0 1 0,-1 0 0,0 0 0,0-1 0,-1 2 0,0 0 0,0-1 0,0 2 0,-1-1 0,0 0 0,0 2 0,-1-1 0,0-1 0,0 3 0,0-1 0,-1 1 0,1-1 0,-1 2 0,0 0 0,-9-6 0,5 6 0,-1 1 0,1 0 0,0 1 0,-1 0 0,1 2 0,-1 0 0,0 0 0,-14 3 0,17-1 0,0 0 0,-1 1 0,1 1 0,1 0 0,0 1 0,-1 0 0,1 1 0,-1 0 0,1 1 0,1 0 0,-10 10 0,14-14 521,1 2 0,-1-1 1,0 1-1,1 1 0,0-1 1,0 0-1,0-1 0,0 2 0,0-1 1,-1 8-1,2-11-396,1 0-1,0 1 1,-1-2 0,1 1-1,0 1 1,0-1 0,0 0-1,0 0 1,0 0 0,0 1-1,0-1 1,0 0 0,0 1-1,0-1 1,0 0-1,1 1 1,-1-1 0,1 0-1,-1-1 1,0 2 0,1-1-1,-1 0 1,1 0 0,-1 0-1,1-1 1,0 1 0,-1 0-1,1 0 1,0 0 0,-1 0-1,1 0 1,0 0 0,-1-1-1,1 0 1,0 0 0,0 1-1,-1-1 1,2 1 0,-2-1-1,1 1 1,0-1 0,0 0-1,0 0 1,0 0 0,1 0-1,6 2-124,0-1 0,0 0 0,0-1 0,0-1 0,0 0 0,0 0 0,0-1 0,0 0 0,0-1 0,-1-1 0,1 1 0,-1-1 0,1-1 0,-1 0 0,0-1 0,0 1 0,0-1 0,-1-2 0,8-7 0,-6 3 0,1 2 0,-2-2 0,9-16 0,-13 23 0,0-1 0,-1 0 0,0-1 0,0 1 0,0 0 0,0 0 0,-1-1 0,0 0 0,1-13 0,-1 14 0,-1-3 0,1-1 0,0 1 0,-1 1 0,0-2 0,-1 1 0,0 0 0,-2-13 0,3 20 0,0 1 0,-1 0 0,1-2 0,-1 3 0,1-1 0,-1 0 0,0 0 0,1 0 0,-1 0 0,0 0 0,1 1 0,-1-1 0,0 0 0,0 0 0,-2-1 0,-4-1 0</inkml:trace>
</inkml:ink>
</file>

<file path=xl/persons/person.xml><?xml version="1.0" encoding="utf-8"?>
<personList xmlns="http://schemas.microsoft.com/office/spreadsheetml/2018/threadedcomments" xmlns:x="http://schemas.openxmlformats.org/spreadsheetml/2006/main">
  <person displayName="Shahriar Ibn Hussain" id="{9FC52FAA-FD73-4C20-B1E5-58C0A7E0428E}" userId="72c4078f25731d9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18" dT="2026-03-07T10:56:49.93" personId="{9FC52FAA-FD73-4C20-B1E5-58C0A7E0428E}" id="{5474BC1E-AA7C-4928-A79D-79F1FDF7CA98}">
    <text xml:space="preserve">DO CHECK THAT ADDITIONAL CLAIM ITEMS ARE NOT PICKED UP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0E0C8-1AC8-413D-955D-012871FDF6DF}">
  <sheetPr codeName="Sheet11"/>
  <dimension ref="A1:K34"/>
  <sheetViews>
    <sheetView topLeftCell="A8" zoomScale="85" zoomScaleNormal="85" workbookViewId="0">
      <selection activeCell="C17" sqref="C17"/>
    </sheetView>
  </sheetViews>
  <sheetFormatPr defaultColWidth="8.81640625" defaultRowHeight="15"/>
  <cols>
    <col min="1" max="1" width="13.1796875" style="2" customWidth="1"/>
    <col min="2" max="2" width="38.36328125" style="2" bestFit="1" customWidth="1"/>
    <col min="3" max="3" width="35.81640625" style="2" customWidth="1"/>
    <col min="4" max="4" width="11.6328125" style="2" customWidth="1"/>
    <col min="5" max="5" width="54" style="2" customWidth="1"/>
    <col min="6" max="6" width="53.6328125" style="78" customWidth="1"/>
    <col min="7" max="7" width="15.453125" style="2" bestFit="1" customWidth="1"/>
    <col min="8" max="16384" width="8.81640625" style="2"/>
  </cols>
  <sheetData>
    <row r="1" spans="1:11">
      <c r="H1" s="2" t="s">
        <v>193</v>
      </c>
      <c r="J1" s="2" t="s">
        <v>193</v>
      </c>
    </row>
    <row r="2" spans="1:11" s="85" customFormat="1" ht="33.6" customHeight="1">
      <c r="A2" s="89" t="s">
        <v>127</v>
      </c>
      <c r="B2" s="92" t="s">
        <v>126</v>
      </c>
      <c r="C2" s="93" t="s">
        <v>131</v>
      </c>
      <c r="D2" s="91"/>
      <c r="H2" s="85" t="s">
        <v>230</v>
      </c>
      <c r="J2" s="32" t="s">
        <v>234</v>
      </c>
      <c r="K2" s="32" t="s">
        <v>232</v>
      </c>
    </row>
    <row r="3" spans="1:11" ht="15.6">
      <c r="B3" s="94" t="s">
        <v>116</v>
      </c>
      <c r="C3" s="129">
        <v>46267</v>
      </c>
      <c r="D3" s="90" t="s">
        <v>180</v>
      </c>
      <c r="F3" s="2"/>
      <c r="H3" s="85" t="s">
        <v>222</v>
      </c>
      <c r="J3" s="32" t="s">
        <v>235</v>
      </c>
      <c r="K3" s="32" t="s">
        <v>233</v>
      </c>
    </row>
    <row r="4" spans="1:11" ht="15.6">
      <c r="B4" s="94" t="s">
        <v>117</v>
      </c>
      <c r="C4" s="129">
        <v>46272</v>
      </c>
      <c r="D4" s="90" t="s">
        <v>180</v>
      </c>
      <c r="F4" s="2"/>
      <c r="K4" s="32"/>
    </row>
    <row r="5" spans="1:11" ht="15.6">
      <c r="A5" s="2" t="s">
        <v>119</v>
      </c>
      <c r="B5" s="94" t="s">
        <v>109</v>
      </c>
      <c r="C5" s="130" t="s">
        <v>448</v>
      </c>
      <c r="D5" s="85" t="s">
        <v>180</v>
      </c>
      <c r="F5" s="2"/>
    </row>
    <row r="6" spans="1:11" ht="15.6">
      <c r="A6" s="2" t="s">
        <v>119</v>
      </c>
      <c r="B6" s="94" t="s">
        <v>115</v>
      </c>
      <c r="C6" s="2" t="s">
        <v>332</v>
      </c>
      <c r="D6" s="85" t="s">
        <v>180</v>
      </c>
      <c r="F6" s="2"/>
    </row>
    <row r="7" spans="1:11" ht="15.6">
      <c r="A7" s="2" t="s">
        <v>119</v>
      </c>
      <c r="B7" s="94" t="s">
        <v>16</v>
      </c>
      <c r="C7" s="130" t="str">
        <f>IF(ISNUMBER(SEARCH("TLBS",C9)),"TLB Services",IF(ISNUMBER(SEARCH("TLBR",C9)),"TLB Reports",""))</f>
        <v>TLB Services</v>
      </c>
      <c r="D7" s="85" t="s">
        <v>180</v>
      </c>
      <c r="F7" s="2"/>
    </row>
    <row r="8" spans="1:11" ht="15.6">
      <c r="B8" s="94" t="s">
        <v>187</v>
      </c>
      <c r="C8" s="129" t="str">
        <f>IF(ISNUMBER(SEARCH("TLBS",C9)),"TLB Services",IF(ISNUMBER(SEARCH("TLBR",C9)),"TLB Reports",""))</f>
        <v>TLB Services</v>
      </c>
      <c r="D8" s="85" t="s">
        <v>180</v>
      </c>
    </row>
    <row r="9" spans="1:11" ht="15.6">
      <c r="A9" s="2" t="s">
        <v>120</v>
      </c>
      <c r="B9" s="94" t="s">
        <v>110</v>
      </c>
      <c r="C9" s="129" t="s">
        <v>449</v>
      </c>
      <c r="D9" s="85" t="s">
        <v>180</v>
      </c>
      <c r="F9" s="2"/>
    </row>
    <row r="10" spans="1:11" ht="15.6">
      <c r="B10" s="94" t="s">
        <v>381</v>
      </c>
      <c r="C10" s="129">
        <v>46251</v>
      </c>
      <c r="D10" s="85" t="s">
        <v>180</v>
      </c>
      <c r="F10" s="2"/>
    </row>
    <row r="11" spans="1:11" ht="15.6">
      <c r="A11" s="2" t="s">
        <v>125</v>
      </c>
      <c r="B11" s="94" t="s">
        <v>380</v>
      </c>
      <c r="C11" s="129">
        <v>46251</v>
      </c>
      <c r="D11" s="90" t="s">
        <v>180</v>
      </c>
      <c r="F11" s="2"/>
    </row>
    <row r="12" spans="1:11" ht="15.6">
      <c r="A12" s="2" t="s">
        <v>120</v>
      </c>
      <c r="B12" s="94" t="s">
        <v>17</v>
      </c>
      <c r="C12" s="130" t="s">
        <v>171</v>
      </c>
      <c r="D12" s="85" t="s">
        <v>180</v>
      </c>
      <c r="F12" s="2"/>
    </row>
    <row r="13" spans="1:11" ht="15.6">
      <c r="A13" s="2" t="s">
        <v>125</v>
      </c>
      <c r="B13" s="94" t="s">
        <v>124</v>
      </c>
      <c r="C13" s="130" t="s">
        <v>170</v>
      </c>
      <c r="D13" s="85" t="s">
        <v>180</v>
      </c>
      <c r="F13" s="2"/>
    </row>
    <row r="14" spans="1:11" ht="15.6">
      <c r="A14" s="2" t="s">
        <v>119</v>
      </c>
      <c r="B14" s="94" t="s">
        <v>111</v>
      </c>
      <c r="C14" s="130" t="s">
        <v>450</v>
      </c>
      <c r="D14" s="85" t="s">
        <v>180</v>
      </c>
      <c r="F14" s="2"/>
    </row>
    <row r="15" spans="1:11" ht="15.6">
      <c r="B15" s="94" t="s">
        <v>112</v>
      </c>
      <c r="C15" s="130" t="s">
        <v>395</v>
      </c>
      <c r="D15" s="85" t="s">
        <v>180</v>
      </c>
      <c r="F15" s="2"/>
    </row>
    <row r="16" spans="1:11" ht="15.6">
      <c r="B16" s="94" t="s">
        <v>118</v>
      </c>
      <c r="C16" s="130">
        <v>19</v>
      </c>
      <c r="D16" s="85" t="s">
        <v>180</v>
      </c>
      <c r="F16" s="2"/>
    </row>
    <row r="17" spans="2:9" ht="120.6" customHeight="1">
      <c r="B17" s="94" t="s">
        <v>128</v>
      </c>
      <c r="C17" s="131" t="s">
        <v>396</v>
      </c>
      <c r="D17" s="85" t="s">
        <v>180</v>
      </c>
      <c r="E17" s="2" t="s">
        <v>246</v>
      </c>
      <c r="F17" s="2"/>
    </row>
    <row r="18" spans="2:9" ht="15.6">
      <c r="B18" s="94" t="s">
        <v>122</v>
      </c>
      <c r="C18" s="130">
        <f>SUM('2.0 FINDINGS AND RECOMM'!F:F)</f>
        <v>2270</v>
      </c>
      <c r="D18" s="85" t="s">
        <v>180</v>
      </c>
      <c r="E18" s="2" t="s">
        <v>247</v>
      </c>
      <c r="F18" s="2"/>
    </row>
    <row r="19" spans="2:9" ht="15.6">
      <c r="B19" s="94" t="s">
        <v>113</v>
      </c>
      <c r="C19" s="130" t="s">
        <v>397</v>
      </c>
      <c r="D19" s="85" t="s">
        <v>180</v>
      </c>
      <c r="E19" s="2" t="s">
        <v>248</v>
      </c>
      <c r="F19" s="2"/>
    </row>
    <row r="20" spans="2:9" ht="15.6">
      <c r="B20" s="94" t="s">
        <v>114</v>
      </c>
      <c r="C20" s="130" t="s">
        <v>385</v>
      </c>
      <c r="D20" s="85" t="s">
        <v>180</v>
      </c>
      <c r="F20" s="2"/>
    </row>
    <row r="21" spans="2:9" ht="15.6">
      <c r="B21" s="94" t="s">
        <v>185</v>
      </c>
      <c r="C21" s="129" t="s">
        <v>224</v>
      </c>
      <c r="D21" s="85" t="s">
        <v>180</v>
      </c>
      <c r="F21" s="2"/>
    </row>
    <row r="22" spans="2:9" ht="15.6">
      <c r="B22" s="94" t="s">
        <v>186</v>
      </c>
      <c r="C22" s="129" t="s">
        <v>387</v>
      </c>
      <c r="D22" s="85" t="s">
        <v>180</v>
      </c>
    </row>
    <row r="24" spans="2:9">
      <c r="B24" s="2" t="s">
        <v>141</v>
      </c>
    </row>
    <row r="26" spans="2:9">
      <c r="B26" s="126" t="s">
        <v>132</v>
      </c>
      <c r="C26" s="126" t="s">
        <v>133</v>
      </c>
      <c r="D26" s="126" t="s">
        <v>134</v>
      </c>
      <c r="E26" s="126" t="s">
        <v>135</v>
      </c>
      <c r="F26" s="126" t="s">
        <v>136</v>
      </c>
      <c r="G26" s="126" t="s">
        <v>137</v>
      </c>
      <c r="H26" s="126" t="s">
        <v>138</v>
      </c>
      <c r="I26" s="127"/>
    </row>
    <row r="27" spans="2:9">
      <c r="B27" s="126" t="s">
        <v>126</v>
      </c>
      <c r="C27" s="126" t="s">
        <v>142</v>
      </c>
      <c r="D27" s="126" t="s">
        <v>143</v>
      </c>
      <c r="E27" s="126" t="s">
        <v>144</v>
      </c>
      <c r="F27" s="126" t="s">
        <v>139</v>
      </c>
      <c r="G27" s="126" t="s">
        <v>145</v>
      </c>
      <c r="H27" s="126" t="s">
        <v>140</v>
      </c>
      <c r="I27" s="127" t="s">
        <v>76</v>
      </c>
    </row>
    <row r="28" spans="2:9" s="284" customFormat="1">
      <c r="B28" s="283" t="s">
        <v>82</v>
      </c>
      <c r="C28" s="283" t="s">
        <v>392</v>
      </c>
      <c r="D28" s="283" t="s">
        <v>398</v>
      </c>
      <c r="E28" s="283" t="s">
        <v>399</v>
      </c>
      <c r="F28" s="284" t="s">
        <v>400</v>
      </c>
      <c r="G28" s="283" t="s">
        <v>401</v>
      </c>
      <c r="H28" s="285">
        <v>1275</v>
      </c>
      <c r="I28" s="284" t="s">
        <v>402</v>
      </c>
    </row>
    <row r="29" spans="2:9" s="284" customFormat="1">
      <c r="B29" s="283" t="s">
        <v>85</v>
      </c>
      <c r="C29" s="283" t="s">
        <v>388</v>
      </c>
      <c r="D29" s="283" t="s">
        <v>403</v>
      </c>
      <c r="E29" s="283" t="s">
        <v>404</v>
      </c>
      <c r="F29" s="284" t="s">
        <v>405</v>
      </c>
      <c r="G29" s="283" t="s">
        <v>406</v>
      </c>
      <c r="H29" s="285">
        <v>150</v>
      </c>
      <c r="I29" s="283" t="s">
        <v>407</v>
      </c>
    </row>
    <row r="30" spans="2:9" s="284" customFormat="1">
      <c r="B30" s="283" t="s">
        <v>86</v>
      </c>
      <c r="C30" s="283" t="s">
        <v>408</v>
      </c>
      <c r="D30" s="283" t="s">
        <v>409</v>
      </c>
      <c r="E30" s="283" t="s">
        <v>410</v>
      </c>
      <c r="F30" s="284" t="s">
        <v>411</v>
      </c>
      <c r="G30" s="283" t="s">
        <v>412</v>
      </c>
      <c r="H30" s="285">
        <v>740</v>
      </c>
      <c r="I30" s="283" t="s">
        <v>413</v>
      </c>
    </row>
    <row r="31" spans="2:9">
      <c r="H31" s="164"/>
    </row>
    <row r="32" spans="2:9">
      <c r="H32" s="194"/>
    </row>
    <row r="33" spans="8:8">
      <c r="H33" s="194"/>
    </row>
    <row r="34" spans="8:8">
      <c r="H34" s="194"/>
    </row>
  </sheetData>
  <conditionalFormatting sqref="D3:D22">
    <cfRule type="expression" dxfId="2" priority="2">
      <formula>D3&lt;&gt;""</formula>
    </cfRule>
  </conditionalFormatting>
  <conditionalFormatting sqref="C3:C5 C7:C22">
    <cfRule type="expression" dxfId="1" priority="1">
      <formula>$D3&lt;&gt;""</formula>
    </cfRule>
  </conditionalFormatting>
  <dataValidations count="1">
    <dataValidation type="list" allowBlank="1" showInputMessage="1" showErrorMessage="1" sqref="C7:C8" xr:uid="{96E7B0E6-3D50-487A-8087-933A974A9B61}">
      <formula1>$H$2:$H$3</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801CF84-E9F1-4A53-81AA-BF4853F5960D}">
          <x14:formula1>
            <xm:f>SOURCE!$A:$A</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11B3-5D67-460A-A58B-C807F1B7B8EB}">
  <sheetPr codeName="Sheet16"/>
  <dimension ref="A1:H95"/>
  <sheetViews>
    <sheetView zoomScale="115" zoomScaleNormal="115" workbookViewId="0">
      <selection activeCell="C17" sqref="C17"/>
    </sheetView>
  </sheetViews>
  <sheetFormatPr defaultRowHeight="13.8"/>
  <cols>
    <col min="1" max="1" width="4.36328125" style="133" customWidth="1"/>
    <col min="2" max="16384" width="8.7265625" style="133"/>
  </cols>
  <sheetData>
    <row r="1" spans="1:8">
      <c r="A1" s="133">
        <v>1</v>
      </c>
      <c r="B1" s="139" t="s">
        <v>154</v>
      </c>
    </row>
    <row r="2" spans="1:8">
      <c r="A2" s="133">
        <v>2</v>
      </c>
      <c r="B2" s="139" t="s">
        <v>190</v>
      </c>
    </row>
    <row r="3" spans="1:8">
      <c r="A3" s="133">
        <v>3</v>
      </c>
      <c r="B3" s="139" t="s">
        <v>194</v>
      </c>
    </row>
    <row r="4" spans="1:8">
      <c r="B4" s="139"/>
    </row>
    <row r="5" spans="1:8">
      <c r="B5" s="199"/>
    </row>
    <row r="6" spans="1:8">
      <c r="B6" s="199"/>
    </row>
    <row r="7" spans="1:8">
      <c r="B7" s="139"/>
    </row>
    <row r="8" spans="1:8">
      <c r="B8" s="139"/>
    </row>
    <row r="9" spans="1:8">
      <c r="B9" s="139"/>
    </row>
    <row r="10" spans="1:8">
      <c r="B10" s="139"/>
    </row>
    <row r="11" spans="1:8">
      <c r="B11" s="139"/>
    </row>
    <row r="12" spans="1:8">
      <c r="B12" s="139"/>
    </row>
    <row r="13" spans="1:8">
      <c r="B13" s="139"/>
    </row>
    <row r="14" spans="1:8">
      <c r="B14" s="139"/>
    </row>
    <row r="15" spans="1:8">
      <c r="B15" s="139"/>
      <c r="H15" s="141" t="s">
        <v>193</v>
      </c>
    </row>
    <row r="16" spans="1:8">
      <c r="B16" s="139"/>
      <c r="H16" s="142" t="s">
        <v>194</v>
      </c>
    </row>
    <row r="17" spans="2:8">
      <c r="B17" s="139"/>
      <c r="H17" s="166" t="s">
        <v>249</v>
      </c>
    </row>
    <row r="18" spans="2:8">
      <c r="B18" s="139"/>
      <c r="H18" s="166" t="s">
        <v>250</v>
      </c>
    </row>
    <row r="19" spans="2:8">
      <c r="B19" s="139"/>
      <c r="H19" s="166" t="s">
        <v>251</v>
      </c>
    </row>
    <row r="20" spans="2:8">
      <c r="B20" s="139"/>
      <c r="H20" s="166" t="s">
        <v>154</v>
      </c>
    </row>
    <row r="21" spans="2:8">
      <c r="B21" s="139"/>
      <c r="H21" s="142" t="s">
        <v>252</v>
      </c>
    </row>
    <row r="22" spans="2:8">
      <c r="B22" s="139"/>
      <c r="H22" s="166" t="s">
        <v>253</v>
      </c>
    </row>
    <row r="23" spans="2:8">
      <c r="B23" s="139"/>
      <c r="H23" s="166" t="s">
        <v>254</v>
      </c>
    </row>
    <row r="24" spans="2:8">
      <c r="B24" s="139"/>
      <c r="H24" s="166" t="s">
        <v>255</v>
      </c>
    </row>
    <row r="25" spans="2:8">
      <c r="B25" s="139"/>
      <c r="H25" s="166" t="s">
        <v>242</v>
      </c>
    </row>
    <row r="26" spans="2:8">
      <c r="B26" s="139"/>
      <c r="H26" s="166" t="s">
        <v>192</v>
      </c>
    </row>
    <row r="27" spans="2:8">
      <c r="B27" s="139"/>
      <c r="H27" s="133" t="s">
        <v>195</v>
      </c>
    </row>
    <row r="28" spans="2:8">
      <c r="H28" s="166" t="s">
        <v>196</v>
      </c>
    </row>
    <row r="29" spans="2:8">
      <c r="H29" s="142" t="s">
        <v>197</v>
      </c>
    </row>
    <row r="30" spans="2:8">
      <c r="H30" s="166" t="s">
        <v>256</v>
      </c>
    </row>
    <row r="31" spans="2:8">
      <c r="H31" s="142" t="s">
        <v>257</v>
      </c>
    </row>
    <row r="32" spans="2:8">
      <c r="H32" s="166" t="s">
        <v>258</v>
      </c>
    </row>
    <row r="33" spans="8:8">
      <c r="H33" s="142" t="s">
        <v>237</v>
      </c>
    </row>
    <row r="34" spans="8:8">
      <c r="H34" s="166" t="s">
        <v>238</v>
      </c>
    </row>
    <row r="35" spans="8:8">
      <c r="H35" s="142" t="s">
        <v>241</v>
      </c>
    </row>
    <row r="36" spans="8:8">
      <c r="H36" s="166" t="s">
        <v>259</v>
      </c>
    </row>
    <row r="37" spans="8:8">
      <c r="H37" s="166" t="s">
        <v>260</v>
      </c>
    </row>
    <row r="38" spans="8:8">
      <c r="H38" s="166" t="s">
        <v>261</v>
      </c>
    </row>
    <row r="39" spans="8:8">
      <c r="H39" s="166" t="s">
        <v>245</v>
      </c>
    </row>
    <row r="40" spans="8:8">
      <c r="H40" s="157" t="s">
        <v>262</v>
      </c>
    </row>
    <row r="41" spans="8:8">
      <c r="H41" s="157" t="s">
        <v>198</v>
      </c>
    </row>
    <row r="42" spans="8:8">
      <c r="H42" s="163" t="s">
        <v>223</v>
      </c>
    </row>
    <row r="43" spans="8:8">
      <c r="H43" s="166" t="s">
        <v>263</v>
      </c>
    </row>
    <row r="44" spans="8:8">
      <c r="H44" s="166" t="s">
        <v>199</v>
      </c>
    </row>
    <row r="45" spans="8:8">
      <c r="H45" s="166" t="s">
        <v>231</v>
      </c>
    </row>
    <row r="46" spans="8:8">
      <c r="H46" s="166" t="s">
        <v>264</v>
      </c>
    </row>
    <row r="47" spans="8:8">
      <c r="H47" s="133" t="s">
        <v>188</v>
      </c>
    </row>
    <row r="48" spans="8:8">
      <c r="H48" s="166" t="s">
        <v>265</v>
      </c>
    </row>
    <row r="49" spans="8:8">
      <c r="H49" s="142" t="s">
        <v>239</v>
      </c>
    </row>
    <row r="50" spans="8:8">
      <c r="H50" s="166" t="s">
        <v>190</v>
      </c>
    </row>
    <row r="51" spans="8:8">
      <c r="H51" s="155" t="s">
        <v>266</v>
      </c>
    </row>
    <row r="52" spans="8:8">
      <c r="H52" s="166" t="s">
        <v>191</v>
      </c>
    </row>
    <row r="53" spans="8:8">
      <c r="H53" s="166" t="s">
        <v>200</v>
      </c>
    </row>
    <row r="54" spans="8:8">
      <c r="H54" s="142" t="s">
        <v>201</v>
      </c>
    </row>
    <row r="55" spans="8:8">
      <c r="H55" s="166" t="s">
        <v>205</v>
      </c>
    </row>
    <row r="56" spans="8:8">
      <c r="H56" s="157" t="s">
        <v>229</v>
      </c>
    </row>
    <row r="57" spans="8:8">
      <c r="H57" s="166" t="s">
        <v>267</v>
      </c>
    </row>
    <row r="58" spans="8:8">
      <c r="H58" s="142" t="s">
        <v>243</v>
      </c>
    </row>
    <row r="59" spans="8:8">
      <c r="H59" s="142" t="s">
        <v>236</v>
      </c>
    </row>
    <row r="60" spans="8:8">
      <c r="H60" s="166" t="s">
        <v>244</v>
      </c>
    </row>
    <row r="61" spans="8:8">
      <c r="H61" s="166" t="s">
        <v>268</v>
      </c>
    </row>
    <row r="62" spans="8:8">
      <c r="H62" s="166" t="s">
        <v>269</v>
      </c>
    </row>
    <row r="63" spans="8:8">
      <c r="H63" s="133" t="s">
        <v>202</v>
      </c>
    </row>
    <row r="64" spans="8:8">
      <c r="H64" s="166" t="s">
        <v>203</v>
      </c>
    </row>
    <row r="65" spans="8:8">
      <c r="H65" s="142" t="s">
        <v>270</v>
      </c>
    </row>
    <row r="66" spans="8:8">
      <c r="H66" s="166" t="s">
        <v>206</v>
      </c>
    </row>
    <row r="67" spans="8:8">
      <c r="H67" s="166" t="s">
        <v>204</v>
      </c>
    </row>
    <row r="68" spans="8:8">
      <c r="H68" s="142" t="s">
        <v>191</v>
      </c>
    </row>
    <row r="69" spans="8:8">
      <c r="H69" s="166" t="s">
        <v>191</v>
      </c>
    </row>
    <row r="70" spans="8:8">
      <c r="H70" s="142" t="s">
        <v>200</v>
      </c>
    </row>
    <row r="71" spans="8:8">
      <c r="H71" s="166" t="s">
        <v>200</v>
      </c>
    </row>
    <row r="72" spans="8:8">
      <c r="H72" s="142" t="s">
        <v>201</v>
      </c>
    </row>
    <row r="73" spans="8:8">
      <c r="H73" s="166" t="s">
        <v>201</v>
      </c>
    </row>
    <row r="74" spans="8:8">
      <c r="H74" s="142" t="s">
        <v>205</v>
      </c>
    </row>
    <row r="75" spans="8:8">
      <c r="H75" s="166" t="s">
        <v>205</v>
      </c>
    </row>
    <row r="76" spans="8:8">
      <c r="H76" s="156" t="s">
        <v>229</v>
      </c>
    </row>
    <row r="77" spans="8:8">
      <c r="H77" s="166" t="s">
        <v>267</v>
      </c>
    </row>
    <row r="78" spans="8:8">
      <c r="H78" s="133" t="s">
        <v>243</v>
      </c>
    </row>
    <row r="79" spans="8:8">
      <c r="H79" s="157" t="s">
        <v>236</v>
      </c>
    </row>
    <row r="80" spans="8:8">
      <c r="H80" s="166" t="s">
        <v>236</v>
      </c>
    </row>
    <row r="81" spans="8:8">
      <c r="H81" s="133" t="s">
        <v>244</v>
      </c>
    </row>
    <row r="82" spans="8:8">
      <c r="H82" s="166" t="s">
        <v>268</v>
      </c>
    </row>
    <row r="83" spans="8:8">
      <c r="H83" s="166" t="s">
        <v>269</v>
      </c>
    </row>
    <row r="84" spans="8:8">
      <c r="H84" s="142" t="s">
        <v>202</v>
      </c>
    </row>
    <row r="85" spans="8:8">
      <c r="H85" s="166" t="s">
        <v>202</v>
      </c>
    </row>
    <row r="86" spans="8:8">
      <c r="H86" s="142" t="s">
        <v>203</v>
      </c>
    </row>
    <row r="87" spans="8:8">
      <c r="H87" s="166" t="s">
        <v>203</v>
      </c>
    </row>
    <row r="88" spans="8:8">
      <c r="H88" s="166" t="s">
        <v>270</v>
      </c>
    </row>
    <row r="89" spans="8:8">
      <c r="H89" s="142" t="s">
        <v>206</v>
      </c>
    </row>
    <row r="90" spans="8:8">
      <c r="H90" s="166" t="s">
        <v>206</v>
      </c>
    </row>
    <row r="91" spans="8:8">
      <c r="H91" s="142" t="s">
        <v>204</v>
      </c>
    </row>
    <row r="92" spans="8:8">
      <c r="H92" s="166" t="s">
        <v>204</v>
      </c>
    </row>
    <row r="93" spans="8:8">
      <c r="H93" s="185" t="s">
        <v>382</v>
      </c>
    </row>
    <row r="94" spans="8:8">
      <c r="H94" s="189" t="s">
        <v>383</v>
      </c>
    </row>
    <row r="95" spans="8:8">
      <c r="H95" s="133" t="s">
        <v>384</v>
      </c>
    </row>
  </sheetData>
  <autoFilter ref="H15:H38" xr:uid="{E9C511B3-5D67-460A-A58B-C807F1B7B8EB}">
    <sortState xmlns:xlrd2="http://schemas.microsoft.com/office/spreadsheetml/2017/richdata2" ref="H16:H92">
      <sortCondition ref="H15:H38"/>
    </sortState>
  </autoFilter>
  <dataValidations count="2">
    <dataValidation type="list" allowBlank="1" showInputMessage="1" showErrorMessage="1" sqref="B14:B27" xr:uid="{9FCB3CCE-1C77-49F6-BECE-17C694FB47E4}">
      <formula1>$H$16:$H$49</formula1>
    </dataValidation>
    <dataValidation type="list" allowBlank="1" showInputMessage="1" showErrorMessage="1" sqref="B1:B4 B7:B13" xr:uid="{34016177-11C5-45D2-8A32-C65EDF8E6A73}">
      <formula1>$H$16:$H$254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CreateFoldersFromPhotoTab">
                <anchor moveWithCells="1" sizeWithCells="1">
                  <from>
                    <xdr:col>4</xdr:col>
                    <xdr:colOff>236220</xdr:colOff>
                    <xdr:row>1</xdr:row>
                    <xdr:rowOff>45720</xdr:rowOff>
                  </from>
                  <to>
                    <xdr:col>7</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C7B00-D12A-4D40-80F0-0EDAAF6AD924}">
  <sheetPr codeName="Sheet10"/>
  <dimension ref="B1:X160"/>
  <sheetViews>
    <sheetView zoomScale="70" zoomScaleNormal="70" workbookViewId="0">
      <selection activeCell="C17" sqref="C17"/>
    </sheetView>
  </sheetViews>
  <sheetFormatPr defaultColWidth="12.90625" defaultRowHeight="13.8"/>
  <cols>
    <col min="1" max="1" width="2.81640625" style="75" customWidth="1"/>
    <col min="2" max="2" width="8.1796875" style="75" customWidth="1"/>
    <col min="3" max="4" width="38.1796875" style="86" customWidth="1"/>
    <col min="5" max="5" width="62.81640625" style="86" customWidth="1"/>
    <col min="6" max="6" width="61.453125" style="86" customWidth="1"/>
    <col min="7" max="7" width="12.90625" style="86" customWidth="1"/>
    <col min="8" max="8" width="12.90625" style="86"/>
    <col min="9" max="16384" width="12.90625" style="75"/>
  </cols>
  <sheetData>
    <row r="1" spans="2:24">
      <c r="U1" s="144" t="s">
        <v>208</v>
      </c>
      <c r="V1" s="144"/>
      <c r="W1" s="144"/>
      <c r="X1" s="144"/>
    </row>
    <row r="2" spans="2:24" ht="15">
      <c r="B2" s="223" t="s">
        <v>82</v>
      </c>
      <c r="C2" s="224" t="str">
        <f>_xlfn.XLOOKUP(B2,'DATA ENTRY 2'!B:B,'DATA ENTRY 2'!C:C)</f>
        <v>BATHROOM</v>
      </c>
      <c r="D2" s="222" t="s">
        <v>38</v>
      </c>
      <c r="E2" s="222" t="s">
        <v>39</v>
      </c>
      <c r="F2" s="218" t="s">
        <v>40</v>
      </c>
      <c r="G2" s="218"/>
      <c r="H2" s="218" t="s">
        <v>76</v>
      </c>
      <c r="Q2" s="75" t="s">
        <v>217</v>
      </c>
      <c r="U2" s="144" t="s">
        <v>209</v>
      </c>
      <c r="V2" s="144" t="s">
        <v>210</v>
      </c>
      <c r="W2" s="144" t="s">
        <v>139</v>
      </c>
      <c r="X2" s="144" t="s">
        <v>211</v>
      </c>
    </row>
    <row r="3" spans="2:24" ht="41.4">
      <c r="B3" s="223"/>
      <c r="C3" s="222"/>
      <c r="D3" s="222"/>
      <c r="E3" s="222"/>
      <c r="F3" s="97" t="s">
        <v>83</v>
      </c>
      <c r="G3" s="110" t="s">
        <v>84</v>
      </c>
      <c r="H3" s="218"/>
      <c r="I3" s="77" t="s">
        <v>169</v>
      </c>
      <c r="J3" s="77" t="s">
        <v>172</v>
      </c>
      <c r="Q3" s="75" t="s">
        <v>240</v>
      </c>
      <c r="U3" s="144" t="s">
        <v>212</v>
      </c>
      <c r="V3" s="144" t="s">
        <v>213</v>
      </c>
      <c r="W3" s="144" t="s">
        <v>214</v>
      </c>
      <c r="X3" s="144" t="s">
        <v>215</v>
      </c>
    </row>
    <row r="4" spans="2:24" ht="364.2" customHeight="1">
      <c r="B4" s="2"/>
      <c r="C4" s="124" t="s">
        <v>398</v>
      </c>
      <c r="D4" s="204" t="s">
        <v>414</v>
      </c>
      <c r="E4" s="204" t="s">
        <v>415</v>
      </c>
      <c r="F4" s="204" t="s">
        <v>416</v>
      </c>
      <c r="G4" s="124">
        <f>300+150+65+330+276+95+280</f>
        <v>1496</v>
      </c>
      <c r="H4" s="204" t="s">
        <v>419</v>
      </c>
      <c r="K4" s="144"/>
      <c r="L4" s="144"/>
      <c r="M4" s="144" t="s">
        <v>207</v>
      </c>
      <c r="N4" s="144"/>
      <c r="O4" s="144"/>
      <c r="U4" s="144" t="s">
        <v>216</v>
      </c>
      <c r="V4" s="144"/>
      <c r="W4" s="144"/>
      <c r="X4" s="159" t="s">
        <v>217</v>
      </c>
    </row>
    <row r="5" spans="2:24" ht="15">
      <c r="B5" s="2"/>
      <c r="C5" s="77"/>
      <c r="D5" s="77"/>
      <c r="E5" s="77"/>
      <c r="F5" s="77"/>
      <c r="G5" s="122"/>
      <c r="H5" s="122"/>
      <c r="O5" s="144"/>
      <c r="U5" s="144" t="s">
        <v>212</v>
      </c>
      <c r="V5" s="144" t="s">
        <v>218</v>
      </c>
      <c r="W5" s="144" t="s">
        <v>219</v>
      </c>
      <c r="X5" s="144" t="s">
        <v>220</v>
      </c>
    </row>
    <row r="6" spans="2:24" ht="15">
      <c r="B6" s="2"/>
      <c r="C6" s="77"/>
      <c r="D6" s="77"/>
      <c r="E6" s="77"/>
      <c r="F6" s="77"/>
      <c r="G6" s="122"/>
      <c r="H6" s="122"/>
      <c r="O6" s="144"/>
      <c r="U6" s="144" t="s">
        <v>226</v>
      </c>
      <c r="V6" s="144" t="s">
        <v>227</v>
      </c>
      <c r="W6" s="144" t="s">
        <v>228</v>
      </c>
      <c r="X6" s="144" t="s">
        <v>225</v>
      </c>
    </row>
    <row r="7" spans="2:24" ht="15">
      <c r="B7" s="2"/>
      <c r="C7" s="77"/>
      <c r="D7" s="77"/>
      <c r="E7" s="77"/>
      <c r="F7" s="77"/>
      <c r="G7" s="122"/>
      <c r="H7" s="122"/>
      <c r="O7" s="144"/>
    </row>
    <row r="8" spans="2:24" ht="15">
      <c r="B8" s="227" t="s">
        <v>85</v>
      </c>
      <c r="C8" s="228" t="str">
        <f>_xlfn.XLOOKUP(B8,'DATA ENTRY 2'!B:B,'DATA ENTRY 2'!C:C)</f>
        <v>KITCHEN</v>
      </c>
      <c r="D8" s="220" t="s">
        <v>38</v>
      </c>
      <c r="E8" s="220" t="s">
        <v>39</v>
      </c>
      <c r="F8" s="221" t="s">
        <v>40</v>
      </c>
      <c r="G8" s="221"/>
      <c r="H8" s="221" t="s">
        <v>76</v>
      </c>
      <c r="K8" s="227" t="s">
        <v>85</v>
      </c>
      <c r="L8" s="231" t="e">
        <f>_xlfn.XLOOKUP(K8,'DATA ENTRY 2'!K:K,'DATA ENTRY 2'!L:L)</f>
        <v>#N/A</v>
      </c>
      <c r="M8" s="232" t="s">
        <v>38</v>
      </c>
      <c r="N8" s="232" t="s">
        <v>39</v>
      </c>
      <c r="O8" s="227" t="s">
        <v>40</v>
      </c>
      <c r="P8" s="227"/>
      <c r="Q8" s="227" t="s">
        <v>76</v>
      </c>
    </row>
    <row r="9" spans="2:24" ht="15">
      <c r="B9" s="227"/>
      <c r="C9" s="220"/>
      <c r="D9" s="220"/>
      <c r="E9" s="220"/>
      <c r="F9" s="98" t="s">
        <v>83</v>
      </c>
      <c r="G9" s="111" t="s">
        <v>84</v>
      </c>
      <c r="H9" s="221"/>
      <c r="K9" s="227"/>
      <c r="L9" s="232"/>
      <c r="M9" s="232"/>
      <c r="N9" s="232"/>
      <c r="O9" s="146" t="s">
        <v>83</v>
      </c>
      <c r="P9" s="140" t="s">
        <v>84</v>
      </c>
      <c r="Q9" s="227"/>
    </row>
    <row r="10" spans="2:24" ht="124.2">
      <c r="B10" s="2"/>
      <c r="C10" s="190" t="s">
        <v>403</v>
      </c>
      <c r="D10" s="204" t="s">
        <v>417</v>
      </c>
      <c r="E10" s="197" t="s">
        <v>405</v>
      </c>
      <c r="F10" s="204" t="s">
        <v>418</v>
      </c>
      <c r="G10" s="122">
        <v>150</v>
      </c>
      <c r="H10" s="204" t="s">
        <v>419</v>
      </c>
      <c r="K10" s="2"/>
      <c r="L10" s="79"/>
      <c r="M10" s="79"/>
      <c r="N10" s="79"/>
      <c r="O10" s="79"/>
      <c r="P10" s="145"/>
      <c r="Q10" s="145"/>
    </row>
    <row r="11" spans="2:24" ht="15">
      <c r="B11" s="2"/>
      <c r="C11" s="77"/>
      <c r="D11" s="77"/>
      <c r="E11" s="77"/>
      <c r="F11" s="77"/>
      <c r="G11" s="122"/>
      <c r="H11" s="122"/>
      <c r="K11" s="2"/>
      <c r="L11" s="79"/>
      <c r="M11" s="79"/>
      <c r="N11" s="79"/>
      <c r="O11" s="79"/>
      <c r="P11" s="145"/>
      <c r="Q11" s="145"/>
    </row>
    <row r="12" spans="2:24" ht="15">
      <c r="B12" s="2"/>
      <c r="C12" s="77"/>
      <c r="D12" s="77"/>
      <c r="E12" s="77"/>
      <c r="F12" s="77"/>
      <c r="G12" s="122"/>
      <c r="H12" s="122"/>
      <c r="K12" s="2"/>
      <c r="L12" s="79"/>
      <c r="M12" s="79"/>
      <c r="N12" s="79"/>
      <c r="O12" s="79"/>
      <c r="P12" s="145"/>
      <c r="Q12" s="145"/>
    </row>
    <row r="13" spans="2:24" ht="15">
      <c r="B13" s="2"/>
      <c r="C13" s="77"/>
      <c r="D13" s="77"/>
      <c r="E13" s="77"/>
      <c r="F13" s="77"/>
      <c r="G13" s="122"/>
      <c r="H13" s="122"/>
      <c r="K13" s="2"/>
      <c r="L13" s="79"/>
      <c r="M13" s="79"/>
      <c r="N13" s="79"/>
      <c r="O13" s="79"/>
      <c r="P13" s="145"/>
      <c r="Q13" s="145"/>
    </row>
    <row r="14" spans="2:24" ht="15">
      <c r="B14" s="225" t="s">
        <v>86</v>
      </c>
      <c r="C14" s="226" t="str">
        <f>_xlfn.XLOOKUP(B14,'DATA ENTRY 2'!B:B,'DATA ENTRY 2'!C:C)</f>
        <v>ADDITIONAL CLAIM ITEMS</v>
      </c>
      <c r="D14" s="219" t="s">
        <v>38</v>
      </c>
      <c r="E14" s="219" t="s">
        <v>39</v>
      </c>
      <c r="F14" s="217" t="s">
        <v>40</v>
      </c>
      <c r="G14" s="217"/>
      <c r="H14" s="217" t="s">
        <v>76</v>
      </c>
      <c r="K14" s="225" t="s">
        <v>86</v>
      </c>
      <c r="L14" s="229" t="e">
        <f>_xlfn.XLOOKUP(K14,'DATA ENTRY 2'!K:K,'DATA ENTRY 2'!L:L)</f>
        <v>#N/A</v>
      </c>
      <c r="M14" s="230" t="s">
        <v>38</v>
      </c>
      <c r="N14" s="230" t="s">
        <v>39</v>
      </c>
      <c r="O14" s="225" t="s">
        <v>40</v>
      </c>
      <c r="P14" s="225"/>
      <c r="Q14" s="225" t="s">
        <v>76</v>
      </c>
    </row>
    <row r="15" spans="2:24" ht="15">
      <c r="B15" s="225"/>
      <c r="C15" s="219"/>
      <c r="D15" s="219"/>
      <c r="E15" s="219"/>
      <c r="F15" s="148" t="s">
        <v>83</v>
      </c>
      <c r="G15" s="149" t="s">
        <v>84</v>
      </c>
      <c r="H15" s="217"/>
      <c r="K15" s="225"/>
      <c r="L15" s="230"/>
      <c r="M15" s="230"/>
      <c r="N15" s="230"/>
      <c r="O15" s="150" t="s">
        <v>83</v>
      </c>
      <c r="P15" s="147" t="s">
        <v>84</v>
      </c>
      <c r="Q15" s="225"/>
    </row>
    <row r="16" spans="2:24" ht="316.8" customHeight="1">
      <c r="B16" s="2"/>
      <c r="C16" s="77" t="s">
        <v>409</v>
      </c>
      <c r="D16" s="197" t="s">
        <v>410</v>
      </c>
      <c r="E16" s="204" t="s">
        <v>420</v>
      </c>
      <c r="F16" s="204" t="s">
        <v>421</v>
      </c>
      <c r="G16" s="122">
        <f>146+478</f>
        <v>624</v>
      </c>
      <c r="H16" s="122" t="s">
        <v>413</v>
      </c>
      <c r="K16" s="2"/>
      <c r="L16" s="79"/>
      <c r="M16" s="79"/>
      <c r="N16" s="79"/>
      <c r="O16" s="79"/>
      <c r="P16" s="145"/>
      <c r="Q16" s="145"/>
    </row>
    <row r="20" spans="2:17" ht="15">
      <c r="B20" s="225"/>
      <c r="C20" s="226"/>
      <c r="D20" s="219"/>
      <c r="E20" s="219"/>
      <c r="F20" s="217"/>
      <c r="G20" s="217"/>
      <c r="H20" s="217"/>
      <c r="K20" s="233" t="s">
        <v>189</v>
      </c>
      <c r="L20" s="237" t="e">
        <f>_xlfn.XLOOKUP(K20,'DATA ENTRY 2'!K:K,'DATA ENTRY 2'!L:L)</f>
        <v>#N/A</v>
      </c>
      <c r="M20" s="238" t="s">
        <v>38</v>
      </c>
      <c r="N20" s="238" t="s">
        <v>39</v>
      </c>
      <c r="O20" s="233" t="s">
        <v>40</v>
      </c>
      <c r="P20" s="233"/>
      <c r="Q20" s="233" t="s">
        <v>76</v>
      </c>
    </row>
    <row r="21" spans="2:17" ht="15">
      <c r="B21" s="225"/>
      <c r="C21" s="219"/>
      <c r="D21" s="219"/>
      <c r="E21" s="219"/>
      <c r="F21" s="148"/>
      <c r="G21" s="149"/>
      <c r="H21" s="217"/>
      <c r="K21" s="233"/>
      <c r="L21" s="238"/>
      <c r="M21" s="238"/>
      <c r="N21" s="238"/>
      <c r="O21" s="152" t="s">
        <v>83</v>
      </c>
      <c r="P21" s="151" t="s">
        <v>84</v>
      </c>
      <c r="Q21" s="233"/>
    </row>
    <row r="22" spans="2:17" ht="15">
      <c r="B22" s="2"/>
      <c r="C22" s="77"/>
      <c r="D22" s="197"/>
      <c r="E22" s="197"/>
      <c r="F22" s="197"/>
      <c r="G22" s="122"/>
      <c r="H22" s="186"/>
      <c r="K22" s="2"/>
      <c r="L22" s="79"/>
      <c r="M22" s="79"/>
      <c r="N22" s="79"/>
      <c r="O22" s="79"/>
      <c r="P22" s="145"/>
      <c r="Q22" s="145"/>
    </row>
    <row r="23" spans="2:17" ht="15">
      <c r="B23" s="2"/>
      <c r="C23" s="77"/>
      <c r="D23" s="77"/>
      <c r="E23" s="77"/>
      <c r="F23" s="77"/>
      <c r="G23" s="122"/>
      <c r="H23" s="122"/>
      <c r="K23" s="2"/>
      <c r="L23" s="79"/>
      <c r="M23" s="79"/>
      <c r="N23" s="79"/>
      <c r="O23" s="79"/>
      <c r="P23" s="145"/>
      <c r="Q23" s="145"/>
    </row>
    <row r="24" spans="2:17" ht="15">
      <c r="B24" s="2"/>
      <c r="C24" s="77"/>
      <c r="D24" s="77"/>
      <c r="E24" s="77"/>
      <c r="F24" s="77"/>
      <c r="G24" s="122"/>
      <c r="H24" s="122"/>
      <c r="K24" s="2"/>
      <c r="L24" s="79"/>
      <c r="M24" s="79"/>
      <c r="N24" s="79"/>
      <c r="O24" s="79"/>
      <c r="P24" s="145"/>
      <c r="Q24" s="145"/>
    </row>
    <row r="25" spans="2:17" ht="15">
      <c r="B25" s="2"/>
      <c r="C25" s="77"/>
      <c r="D25" s="77"/>
      <c r="E25" s="77"/>
      <c r="F25" s="77"/>
      <c r="G25" s="122"/>
      <c r="H25" s="122"/>
      <c r="K25" s="2"/>
      <c r="L25" s="79"/>
      <c r="M25" s="79"/>
      <c r="N25" s="79"/>
      <c r="O25" s="79"/>
      <c r="P25" s="145"/>
      <c r="Q25" s="145"/>
    </row>
    <row r="26" spans="2:17" ht="15">
      <c r="B26" s="225"/>
      <c r="C26" s="226"/>
      <c r="D26" s="219"/>
      <c r="E26" s="219"/>
      <c r="F26" s="217"/>
      <c r="G26" s="217"/>
      <c r="H26" s="217"/>
      <c r="K26" s="234" t="s">
        <v>221</v>
      </c>
      <c r="L26" s="235" t="e">
        <f>_xlfn.XLOOKUP(K26,'DATA ENTRY 2'!K:K,'DATA ENTRY 2'!L:L)</f>
        <v>#N/A</v>
      </c>
      <c r="M26" s="236" t="s">
        <v>38</v>
      </c>
      <c r="N26" s="236" t="s">
        <v>39</v>
      </c>
      <c r="O26" s="234" t="s">
        <v>40</v>
      </c>
      <c r="P26" s="234"/>
      <c r="Q26" s="234" t="s">
        <v>76</v>
      </c>
    </row>
    <row r="27" spans="2:17" ht="15">
      <c r="B27" s="225"/>
      <c r="C27" s="219"/>
      <c r="D27" s="219"/>
      <c r="E27" s="219"/>
      <c r="F27" s="148"/>
      <c r="G27" s="149"/>
      <c r="H27" s="217"/>
      <c r="K27" s="234"/>
      <c r="L27" s="236"/>
      <c r="M27" s="236"/>
      <c r="N27" s="236"/>
      <c r="O27" s="154" t="s">
        <v>83</v>
      </c>
      <c r="P27" s="153" t="s">
        <v>84</v>
      </c>
      <c r="Q27" s="234"/>
    </row>
    <row r="28" spans="2:17" ht="15">
      <c r="B28" s="2"/>
      <c r="C28" s="77"/>
      <c r="D28" s="197"/>
      <c r="E28" s="167"/>
      <c r="F28" s="190"/>
      <c r="G28" s="122"/>
      <c r="H28" s="180"/>
      <c r="K28" s="2"/>
      <c r="L28" s="79"/>
      <c r="M28" s="79"/>
      <c r="N28" s="79"/>
      <c r="O28" s="79"/>
      <c r="P28" s="145"/>
      <c r="Q28" s="145"/>
    </row>
    <row r="32" spans="2:17" ht="15">
      <c r="B32" s="225"/>
      <c r="C32" s="226"/>
      <c r="D32" s="219"/>
      <c r="E32" s="219"/>
      <c r="F32" s="217"/>
      <c r="G32" s="217"/>
      <c r="H32" s="217"/>
    </row>
    <row r="33" spans="2:8" ht="15">
      <c r="B33" s="225"/>
      <c r="C33" s="219"/>
      <c r="D33" s="219"/>
      <c r="E33" s="219"/>
      <c r="F33" s="148"/>
      <c r="G33" s="149"/>
      <c r="H33" s="217"/>
    </row>
    <row r="34" spans="2:8" ht="248.4" customHeight="1">
      <c r="D34" s="198"/>
      <c r="E34" s="193"/>
      <c r="F34" s="198"/>
      <c r="H34" s="193"/>
    </row>
    <row r="38" spans="2:8" ht="15">
      <c r="B38" s="225"/>
      <c r="C38" s="226"/>
      <c r="D38" s="219"/>
      <c r="E38" s="219"/>
      <c r="F38" s="217"/>
      <c r="G38" s="217"/>
      <c r="H38" s="217"/>
    </row>
    <row r="39" spans="2:8" ht="15">
      <c r="B39" s="225"/>
      <c r="C39" s="219"/>
      <c r="D39" s="219"/>
      <c r="E39" s="219"/>
      <c r="F39" s="148"/>
      <c r="G39" s="149"/>
      <c r="H39" s="217"/>
    </row>
    <row r="40" spans="2:8">
      <c r="E40" s="198"/>
      <c r="F40" s="198"/>
      <c r="H40" s="165"/>
    </row>
    <row r="44" spans="2:8" ht="15">
      <c r="B44" s="225"/>
      <c r="C44" s="226"/>
      <c r="D44" s="219"/>
      <c r="E44" s="219"/>
      <c r="F44" s="217"/>
      <c r="G44" s="217"/>
      <c r="H44" s="217"/>
    </row>
    <row r="45" spans="2:8" ht="15">
      <c r="B45" s="225"/>
      <c r="C45" s="219"/>
      <c r="D45" s="219"/>
      <c r="E45" s="219"/>
      <c r="F45" s="148"/>
      <c r="G45" s="149"/>
      <c r="H45" s="217"/>
    </row>
    <row r="46" spans="2:8">
      <c r="C46" s="165"/>
      <c r="D46" s="160"/>
      <c r="F46" s="165"/>
    </row>
    <row r="50" spans="2:8" ht="15">
      <c r="B50" s="233"/>
      <c r="C50" s="237"/>
      <c r="D50" s="238"/>
      <c r="E50" s="238"/>
      <c r="F50" s="233"/>
      <c r="G50" s="233"/>
      <c r="H50" s="233"/>
    </row>
    <row r="51" spans="2:8" ht="15">
      <c r="B51" s="233"/>
      <c r="C51" s="238"/>
      <c r="D51" s="238"/>
      <c r="E51" s="238"/>
      <c r="F51" s="152"/>
      <c r="G51" s="151"/>
      <c r="H51" s="233"/>
    </row>
    <row r="56" spans="2:8" ht="15">
      <c r="B56" s="225"/>
      <c r="C56" s="229"/>
      <c r="D56" s="230"/>
      <c r="E56" s="230"/>
      <c r="F56" s="225"/>
      <c r="G56" s="225"/>
      <c r="H56" s="225"/>
    </row>
    <row r="57" spans="2:8" ht="15">
      <c r="B57" s="225"/>
      <c r="C57" s="230"/>
      <c r="D57" s="230"/>
      <c r="E57" s="230"/>
      <c r="F57" s="150"/>
      <c r="G57" s="147"/>
      <c r="H57" s="225"/>
    </row>
    <row r="58" spans="2:8">
      <c r="F58" s="160"/>
    </row>
    <row r="154" spans="5:5">
      <c r="E154" s="86" t="s">
        <v>129</v>
      </c>
    </row>
    <row r="160" spans="5:5" ht="69">
      <c r="E160" s="86" t="s">
        <v>130</v>
      </c>
    </row>
  </sheetData>
  <mergeCells count="84">
    <mergeCell ref="E50:E51"/>
    <mergeCell ref="F50:G50"/>
    <mergeCell ref="H50:H51"/>
    <mergeCell ref="B56:B57"/>
    <mergeCell ref="C56:C57"/>
    <mergeCell ref="D56:D57"/>
    <mergeCell ref="E56:E57"/>
    <mergeCell ref="F56:G56"/>
    <mergeCell ref="H56:H57"/>
    <mergeCell ref="B50:B51"/>
    <mergeCell ref="C50:C51"/>
    <mergeCell ref="D50:D51"/>
    <mergeCell ref="H38:H39"/>
    <mergeCell ref="B44:B45"/>
    <mergeCell ref="C44:C45"/>
    <mergeCell ref="D44:D45"/>
    <mergeCell ref="E44:E45"/>
    <mergeCell ref="F44:G44"/>
    <mergeCell ref="H44:H45"/>
    <mergeCell ref="B38:B39"/>
    <mergeCell ref="C38:C39"/>
    <mergeCell ref="D38:D39"/>
    <mergeCell ref="E38:E39"/>
    <mergeCell ref="F38:G38"/>
    <mergeCell ref="H26:H27"/>
    <mergeCell ref="B32:B33"/>
    <mergeCell ref="C32:C33"/>
    <mergeCell ref="D32:D33"/>
    <mergeCell ref="E32:E33"/>
    <mergeCell ref="F32:G32"/>
    <mergeCell ref="H32:H33"/>
    <mergeCell ref="B26:B27"/>
    <mergeCell ref="C26:C27"/>
    <mergeCell ref="D26:D27"/>
    <mergeCell ref="E26:E27"/>
    <mergeCell ref="F26:G26"/>
    <mergeCell ref="O20:P20"/>
    <mergeCell ref="Q20:Q21"/>
    <mergeCell ref="K26:K27"/>
    <mergeCell ref="L26:L27"/>
    <mergeCell ref="M26:M27"/>
    <mergeCell ref="N26:N27"/>
    <mergeCell ref="O26:P26"/>
    <mergeCell ref="Q26:Q27"/>
    <mergeCell ref="K20:K21"/>
    <mergeCell ref="L20:L21"/>
    <mergeCell ref="M20:M21"/>
    <mergeCell ref="N20:N21"/>
    <mergeCell ref="O8:P8"/>
    <mergeCell ref="Q8:Q9"/>
    <mergeCell ref="K14:K15"/>
    <mergeCell ref="L14:L15"/>
    <mergeCell ref="M14:M15"/>
    <mergeCell ref="N14:N15"/>
    <mergeCell ref="O14:P14"/>
    <mergeCell ref="Q14:Q15"/>
    <mergeCell ref="K8:K9"/>
    <mergeCell ref="L8:L9"/>
    <mergeCell ref="M8:M9"/>
    <mergeCell ref="N8:N9"/>
    <mergeCell ref="B20:B21"/>
    <mergeCell ref="C20:C21"/>
    <mergeCell ref="D20:D21"/>
    <mergeCell ref="E20:E21"/>
    <mergeCell ref="F20:G20"/>
    <mergeCell ref="B14:B15"/>
    <mergeCell ref="C14:C15"/>
    <mergeCell ref="D14:D15"/>
    <mergeCell ref="B8:B9"/>
    <mergeCell ref="C8:C9"/>
    <mergeCell ref="D8:D9"/>
    <mergeCell ref="D2:D3"/>
    <mergeCell ref="E2:E3"/>
    <mergeCell ref="H2:H3"/>
    <mergeCell ref="H8:H9"/>
    <mergeCell ref="B2:B3"/>
    <mergeCell ref="C2:C3"/>
    <mergeCell ref="H14:H15"/>
    <mergeCell ref="F2:G2"/>
    <mergeCell ref="E14:E15"/>
    <mergeCell ref="F14:G14"/>
    <mergeCell ref="H20:H21"/>
    <mergeCell ref="E8:E9"/>
    <mergeCell ref="F8:G8"/>
  </mergeCells>
  <phoneticPr fontId="3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5" r:id="rId4" name="Button 3">
              <controlPr defaultSize="0" print="0" autoFill="0" autoPict="0" macro="[0]!Fill_Tab2_From_Tab1">
                <anchor moveWithCells="1" sizeWithCells="1">
                  <from>
                    <xdr:col>14</xdr:col>
                    <xdr:colOff>487680</xdr:colOff>
                    <xdr:row>3</xdr:row>
                    <xdr:rowOff>922020</xdr:rowOff>
                  </from>
                  <to>
                    <xdr:col>16</xdr:col>
                    <xdr:colOff>289560</xdr:colOff>
                    <xdr:row>3</xdr:row>
                    <xdr:rowOff>1897380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1117A-04BA-4D7E-A292-FEE4C372172B}">
  <sheetPr codeName="Sheet15"/>
  <dimension ref="A1"/>
  <sheetViews>
    <sheetView workbookViewId="0">
      <selection activeCell="A2" sqref="A2:D21"/>
    </sheetView>
  </sheetViews>
  <sheetFormatPr defaultRowHeight="15"/>
  <cols>
    <col min="2" max="2" width="35.36328125" bestFit="1" customWidth="1"/>
  </cols>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54B68-50AD-45FF-B6CD-8111C3DD3093}">
  <sheetPr codeName="Sheet1"/>
  <dimension ref="A1:M41"/>
  <sheetViews>
    <sheetView tabSelected="1" view="pageBreakPreview" zoomScale="70" zoomScaleNormal="100" zoomScaleSheetLayoutView="70" zoomScalePageLayoutView="85" workbookViewId="0">
      <selection activeCell="P17" sqref="P17"/>
    </sheetView>
  </sheetViews>
  <sheetFormatPr defaultColWidth="9.1796875" defaultRowHeight="15"/>
  <cols>
    <col min="1" max="1" width="9.1796875" style="2"/>
    <col min="2" max="2" width="11" style="2" customWidth="1"/>
    <col min="3" max="4" width="9.1796875" style="2"/>
    <col min="5" max="5" width="9.1796875" style="2" customWidth="1"/>
    <col min="6" max="6" width="9.1796875" style="2"/>
    <col min="7" max="7" width="9.1796875" style="2" customWidth="1"/>
    <col min="8" max="8" width="11.1796875" style="2" customWidth="1"/>
    <col min="9" max="16384" width="9.1796875" style="2"/>
  </cols>
  <sheetData>
    <row r="1" spans="1:13" ht="10.5" customHeight="1" thickTop="1">
      <c r="F1" s="3"/>
      <c r="G1" s="4"/>
      <c r="H1" s="4"/>
    </row>
    <row r="2" spans="1:13">
      <c r="F2" s="67" t="s">
        <v>91</v>
      </c>
    </row>
    <row r="5" spans="1:13" ht="21">
      <c r="K5" s="168" t="s">
        <v>328</v>
      </c>
    </row>
    <row r="6" spans="1:13">
      <c r="K6" s="125" t="s">
        <v>329</v>
      </c>
      <c r="L6" s="2">
        <f>SUM('DATA ENTRY'!G:G)</f>
        <v>2270</v>
      </c>
    </row>
    <row r="7" spans="1:13">
      <c r="K7" s="169" t="s">
        <v>330</v>
      </c>
      <c r="L7" s="170">
        <f>SUMIF('APPENDIX 1 SCOTT SCHEDULE'!D:D,"Subtotal",'APPENDIX 1 SCOTT SCHEDULE'!E:E)+SUMIF('APPENDIX 1 SCOTT SCHEDULE'!D:D,"Additional Items Subtotal",'APPENDIX 1 SCOTT SCHEDULE'!E:E)</f>
        <v>2270</v>
      </c>
    </row>
    <row r="8" spans="1:13" ht="22.8">
      <c r="A8" s="214" t="s">
        <v>0</v>
      </c>
      <c r="B8" s="214"/>
      <c r="C8" s="214"/>
      <c r="D8" s="214"/>
      <c r="E8" s="214"/>
      <c r="F8" s="214"/>
      <c r="G8" s="214"/>
      <c r="H8" s="214"/>
      <c r="K8" s="125" t="s">
        <v>331</v>
      </c>
      <c r="L8" s="2">
        <f>L6-L7</f>
        <v>0</v>
      </c>
      <c r="M8" s="171" t="str">
        <f>IF(L8&lt;&gt;0,"ERROR","")</f>
        <v/>
      </c>
    </row>
    <row r="9" spans="1:13" ht="22.8">
      <c r="A9" s="6"/>
      <c r="B9" s="6"/>
      <c r="C9" s="6"/>
      <c r="D9" s="6"/>
      <c r="E9" s="6"/>
      <c r="F9" s="6"/>
      <c r="G9" s="6"/>
      <c r="H9" s="6"/>
    </row>
    <row r="10" spans="1:13" ht="22.8">
      <c r="A10" s="7"/>
      <c r="B10" s="7"/>
      <c r="C10" s="7"/>
      <c r="D10" s="7"/>
      <c r="E10" s="7"/>
      <c r="F10" s="7"/>
      <c r="G10" s="7"/>
      <c r="H10" s="7"/>
    </row>
    <row r="11" spans="1:13" ht="22.8">
      <c r="A11" s="214" t="s">
        <v>1</v>
      </c>
      <c r="B11" s="214"/>
      <c r="C11" s="214"/>
      <c r="D11" s="214"/>
      <c r="E11" s="214"/>
      <c r="F11" s="214"/>
      <c r="G11" s="214"/>
      <c r="H11" s="214"/>
    </row>
    <row r="12" spans="1:13" ht="22.8">
      <c r="A12" s="7"/>
      <c r="B12" s="7"/>
      <c r="C12" s="7"/>
      <c r="D12" s="7"/>
      <c r="E12" s="7"/>
      <c r="F12" s="7"/>
      <c r="G12" s="7"/>
      <c r="H12" s="7"/>
    </row>
    <row r="13" spans="1:13" ht="22.8">
      <c r="A13" s="214" t="s">
        <v>2</v>
      </c>
      <c r="B13" s="214"/>
      <c r="C13" s="214"/>
      <c r="D13" s="214"/>
      <c r="E13" s="214"/>
      <c r="F13" s="214"/>
      <c r="G13" s="214"/>
      <c r="H13" s="214"/>
    </row>
    <row r="16" spans="1:13" ht="17.399999999999999">
      <c r="A16" s="215" t="str">
        <f>'DATA ENTRY 2'!C14</f>
        <v>Flat REDACTED, Regency Street, London, SW1P 4BE</v>
      </c>
      <c r="B16" s="215"/>
      <c r="C16" s="215"/>
      <c r="D16" s="215"/>
      <c r="E16" s="215"/>
      <c r="F16" s="215"/>
      <c r="G16" s="215"/>
      <c r="H16" s="215"/>
      <c r="K16" s="2" t="s">
        <v>271</v>
      </c>
    </row>
    <row r="17" spans="1:11" ht="17.399999999999999">
      <c r="A17" s="69"/>
      <c r="B17" s="69"/>
      <c r="C17" s="69"/>
      <c r="D17" s="69"/>
      <c r="E17" s="69"/>
      <c r="F17" s="69"/>
      <c r="G17" s="69"/>
      <c r="H17" s="69"/>
      <c r="K17" s="37" t="s">
        <v>272</v>
      </c>
    </row>
    <row r="18" spans="1:11" ht="15.6" thickBot="1">
      <c r="A18" s="70"/>
      <c r="B18" s="70"/>
      <c r="C18" s="70"/>
      <c r="D18" s="70"/>
      <c r="E18" s="70"/>
      <c r="F18" s="70"/>
      <c r="G18" s="70"/>
      <c r="H18" s="70"/>
      <c r="K18" s="37" t="s">
        <v>273</v>
      </c>
    </row>
    <row r="19" spans="1:11" ht="15.6" thickTop="1">
      <c r="K19" s="37" t="s">
        <v>274</v>
      </c>
    </row>
    <row r="20" spans="1:11">
      <c r="K20" s="37" t="s">
        <v>275</v>
      </c>
    </row>
    <row r="21" spans="1:11" ht="17.399999999999999">
      <c r="A21" s="213" t="s">
        <v>3</v>
      </c>
      <c r="B21" s="213"/>
      <c r="C21" s="213"/>
      <c r="D21" s="213"/>
      <c r="E21" s="213"/>
      <c r="F21" s="213"/>
      <c r="G21" s="213"/>
      <c r="H21" s="213"/>
      <c r="K21" s="37" t="s">
        <v>276</v>
      </c>
    </row>
    <row r="22" spans="1:11" ht="17.399999999999999">
      <c r="A22" s="71"/>
      <c r="B22" s="71"/>
      <c r="C22" s="71"/>
      <c r="D22" s="71"/>
      <c r="E22" s="71"/>
      <c r="F22" s="71"/>
      <c r="G22" s="71"/>
      <c r="H22" s="71"/>
      <c r="K22" s="37" t="s">
        <v>277</v>
      </c>
    </row>
    <row r="23" spans="1:11" ht="17.399999999999999">
      <c r="A23" s="213" t="str">
        <f>'DATA ENTRY 2'!C5</f>
        <v>Miss REDACTED (Claimant)</v>
      </c>
      <c r="B23" s="213"/>
      <c r="C23" s="213"/>
      <c r="D23" s="213"/>
      <c r="E23" s="213"/>
      <c r="F23" s="213"/>
      <c r="G23" s="213"/>
      <c r="H23" s="213"/>
      <c r="K23" s="37" t="s">
        <v>278</v>
      </c>
    </row>
    <row r="24" spans="1:11" ht="17.399999999999999">
      <c r="A24" s="71"/>
      <c r="B24" s="71"/>
      <c r="C24" s="71"/>
      <c r="D24" s="71"/>
      <c r="E24" s="71"/>
      <c r="F24" s="71"/>
      <c r="G24" s="71"/>
      <c r="H24" s="71"/>
    </row>
    <row r="25" spans="1:11" ht="17.399999999999999">
      <c r="A25" s="213" t="s">
        <v>4</v>
      </c>
      <c r="B25" s="213"/>
      <c r="C25" s="213"/>
      <c r="D25" s="213"/>
      <c r="E25" s="213"/>
      <c r="F25" s="213"/>
      <c r="G25" s="213"/>
      <c r="H25" s="213"/>
    </row>
    <row r="26" spans="1:11" ht="17.399999999999999">
      <c r="A26" s="71"/>
      <c r="B26" s="71"/>
      <c r="C26" s="71"/>
      <c r="D26" s="71"/>
      <c r="E26" s="71"/>
      <c r="F26" s="71"/>
      <c r="G26" s="71"/>
      <c r="H26" s="71"/>
      <c r="K26" s="37" t="s">
        <v>279</v>
      </c>
    </row>
    <row r="27" spans="1:11" ht="17.399999999999999">
      <c r="A27" s="213" t="str">
        <f>'DATA ENTRY 2'!C6</f>
        <v>Westminster City Council</v>
      </c>
      <c r="B27" s="213"/>
      <c r="C27" s="213"/>
      <c r="D27" s="213"/>
      <c r="E27" s="213"/>
      <c r="F27" s="213"/>
      <c r="G27" s="213"/>
      <c r="H27" s="213"/>
      <c r="K27" s="37" t="s">
        <v>280</v>
      </c>
    </row>
    <row r="28" spans="1:11" ht="17.399999999999999">
      <c r="A28" s="71"/>
      <c r="B28" s="71"/>
      <c r="C28" s="71"/>
      <c r="D28" s="71"/>
      <c r="E28" s="71"/>
      <c r="F28" s="71"/>
      <c r="G28" s="71"/>
      <c r="H28" s="71"/>
      <c r="K28" s="37" t="s">
        <v>281</v>
      </c>
    </row>
    <row r="29" spans="1:11" ht="15.6" thickBot="1">
      <c r="A29" s="70"/>
      <c r="B29" s="70"/>
      <c r="C29" s="70"/>
      <c r="D29" s="70"/>
      <c r="E29" s="70"/>
      <c r="F29" s="70"/>
      <c r="G29" s="70"/>
      <c r="H29" s="70"/>
    </row>
    <row r="30" spans="1:11" ht="15.6" thickTop="1"/>
    <row r="32" spans="1:11" ht="17.399999999999999">
      <c r="A32" s="72" t="s">
        <v>5</v>
      </c>
      <c r="B32" s="72"/>
      <c r="C32" s="72" t="s">
        <v>333</v>
      </c>
    </row>
    <row r="33" spans="1:11" ht="17.399999999999999">
      <c r="A33" s="72"/>
      <c r="B33" s="72"/>
      <c r="C33" s="72"/>
    </row>
    <row r="34" spans="1:11" ht="17.399999999999999">
      <c r="A34" s="72" t="s">
        <v>6</v>
      </c>
      <c r="B34" s="72"/>
      <c r="C34" s="216">
        <f>'DATA ENTRY 2'!C3</f>
        <v>46267</v>
      </c>
      <c r="D34" s="216"/>
      <c r="E34" s="216"/>
      <c r="F34" s="216"/>
      <c r="G34" s="216"/>
      <c r="H34" s="216"/>
    </row>
    <row r="35" spans="1:11" ht="17.399999999999999">
      <c r="A35" s="72"/>
      <c r="B35" s="72"/>
      <c r="C35" s="72"/>
    </row>
    <row r="36" spans="1:11" ht="17.399999999999999">
      <c r="A36" s="72" t="s">
        <v>7</v>
      </c>
      <c r="B36" s="72"/>
      <c r="C36" s="216">
        <f>'DATA ENTRY 2'!C4</f>
        <v>46272</v>
      </c>
      <c r="D36" s="216"/>
      <c r="E36" s="216"/>
      <c r="F36" s="216"/>
      <c r="G36" s="216"/>
      <c r="H36" s="216"/>
    </row>
    <row r="37" spans="1:11" ht="17.399999999999999">
      <c r="A37" s="72"/>
      <c r="B37" s="72"/>
      <c r="C37" s="132"/>
      <c r="D37" s="132"/>
      <c r="E37" s="132"/>
      <c r="F37" s="132"/>
      <c r="G37" s="132"/>
      <c r="H37" s="132"/>
    </row>
    <row r="38" spans="1:11" ht="17.399999999999999">
      <c r="A38" s="72" t="s">
        <v>181</v>
      </c>
      <c r="B38" s="72"/>
      <c r="C38" s="216" t="str">
        <f>'DATA ENTRY 2'!C8</f>
        <v>TLB Services</v>
      </c>
      <c r="D38" s="216"/>
      <c r="E38" s="216"/>
      <c r="F38" s="216"/>
      <c r="G38" s="216"/>
      <c r="H38" s="216"/>
    </row>
    <row r="40" spans="1:11" ht="22.8">
      <c r="C40" s="172"/>
      <c r="D40" s="172"/>
      <c r="E40" s="172"/>
      <c r="F40" s="172"/>
      <c r="G40" s="172"/>
      <c r="H40" s="172"/>
      <c r="I40" s="172"/>
      <c r="J40" s="172"/>
      <c r="K40" s="172"/>
    </row>
    <row r="41" spans="1:11" ht="22.8">
      <c r="C41" s="172" t="str">
        <f>M8</f>
        <v/>
      </c>
      <c r="D41" s="172"/>
      <c r="E41" s="172"/>
      <c r="F41" s="172"/>
      <c r="G41" s="172" t="str">
        <f>M8</f>
        <v/>
      </c>
      <c r="H41" s="172"/>
      <c r="I41" s="172"/>
      <c r="J41" s="172"/>
      <c r="K41" s="172" t="str">
        <f>M8</f>
        <v/>
      </c>
    </row>
  </sheetData>
  <mergeCells count="11">
    <mergeCell ref="C38:H38"/>
    <mergeCell ref="C34:H34"/>
    <mergeCell ref="C36:H36"/>
    <mergeCell ref="A25:H25"/>
    <mergeCell ref="A27:H27"/>
    <mergeCell ref="A23:H23"/>
    <mergeCell ref="A8:H8"/>
    <mergeCell ref="A11:H11"/>
    <mergeCell ref="A13:H13"/>
    <mergeCell ref="A16:H16"/>
    <mergeCell ref="A21:H21"/>
  </mergeCells>
  <conditionalFormatting sqref="M8">
    <cfRule type="cellIs" dxfId="0" priority="1" operator="equal">
      <formula>"ERROR"</formula>
    </cfRule>
  </conditionalFormatting>
  <pageMargins left="0.7" right="0.7" top="0.75" bottom="0.75" header="0.3" footer="0.3"/>
  <pageSetup orientation="portrait" r:id="rId1"/>
  <headerFooter>
    <oddFooter>&amp;C&amp;"Arial,Regular"&amp;8&amp;P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SavePDFAndExcelCopy">
                <anchor moveWithCells="1" sizeWithCells="1">
                  <from>
                    <xdr:col>9</xdr:col>
                    <xdr:colOff>716280</xdr:colOff>
                    <xdr:row>9</xdr:row>
                    <xdr:rowOff>121920</xdr:rowOff>
                  </from>
                  <to>
                    <xdr:col>11</xdr:col>
                    <xdr:colOff>708660</xdr:colOff>
                    <xdr:row>11</xdr:row>
                    <xdr:rowOff>106680</xdr:rowOff>
                  </to>
                </anchor>
              </controlPr>
            </control>
          </mc:Choice>
        </mc:AlternateContent>
        <mc:AlternateContent xmlns:mc="http://schemas.openxmlformats.org/markup-compatibility/2006">
          <mc:Choice Requires="x14">
            <control shapeId="6147" r:id="rId5" name="Button 3">
              <controlPr defaultSize="0" print="0" autoFill="0" autoPict="0" macro="[0]!EmailLatestSavedPDF">
                <anchor moveWithCells="1" sizeWithCells="1">
                  <from>
                    <xdr:col>9</xdr:col>
                    <xdr:colOff>723900</xdr:colOff>
                    <xdr:row>12</xdr:row>
                    <xdr:rowOff>38100</xdr:rowOff>
                  </from>
                  <to>
                    <xdr:col>11</xdr:col>
                    <xdr:colOff>685800</xdr:colOff>
                    <xdr:row>14</xdr:row>
                    <xdr:rowOff>106680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9BD05-A711-4F00-81CB-23CD142D4C11}">
  <sheetPr codeName="Sheet18"/>
  <dimension ref="A2:A65"/>
  <sheetViews>
    <sheetView topLeftCell="A33" workbookViewId="0">
      <selection activeCell="A66" sqref="A66"/>
    </sheetView>
  </sheetViews>
  <sheetFormatPr defaultRowHeight="15"/>
  <cols>
    <col min="1" max="1" width="37.81640625" bestFit="1" customWidth="1"/>
  </cols>
  <sheetData>
    <row r="2" spans="1:1" ht="15.6">
      <c r="A2" s="128" t="s">
        <v>283</v>
      </c>
    </row>
    <row r="3" spans="1:1">
      <c r="A3" s="85" t="s">
        <v>284</v>
      </c>
    </row>
    <row r="4" spans="1:1">
      <c r="A4" s="2" t="s">
        <v>285</v>
      </c>
    </row>
    <row r="5" spans="1:1">
      <c r="A5" s="2" t="s">
        <v>286</v>
      </c>
    </row>
    <row r="6" spans="1:1">
      <c r="A6" s="2" t="s">
        <v>287</v>
      </c>
    </row>
    <row r="7" spans="1:1">
      <c r="A7" s="2" t="s">
        <v>288</v>
      </c>
    </row>
    <row r="8" spans="1:1">
      <c r="A8" s="2" t="s">
        <v>289</v>
      </c>
    </row>
    <row r="9" spans="1:1">
      <c r="A9" s="2" t="s">
        <v>290</v>
      </c>
    </row>
    <row r="10" spans="1:1">
      <c r="A10" s="2" t="s">
        <v>291</v>
      </c>
    </row>
    <row r="11" spans="1:1">
      <c r="A11" s="2" t="s">
        <v>282</v>
      </c>
    </row>
    <row r="12" spans="1:1">
      <c r="A12" s="2" t="s">
        <v>292</v>
      </c>
    </row>
    <row r="13" spans="1:1">
      <c r="A13" s="2" t="s">
        <v>293</v>
      </c>
    </row>
    <row r="14" spans="1:1">
      <c r="A14" s="2" t="s">
        <v>294</v>
      </c>
    </row>
    <row r="15" spans="1:1">
      <c r="A15" s="2" t="s">
        <v>295</v>
      </c>
    </row>
    <row r="16" spans="1:1">
      <c r="A16" s="2" t="s">
        <v>296</v>
      </c>
    </row>
    <row r="17" spans="1:1">
      <c r="A17" s="2" t="s">
        <v>297</v>
      </c>
    </row>
    <row r="18" spans="1:1">
      <c r="A18" s="2" t="s">
        <v>298</v>
      </c>
    </row>
    <row r="19" spans="1:1">
      <c r="A19" s="2" t="s">
        <v>299</v>
      </c>
    </row>
    <row r="20" spans="1:1">
      <c r="A20" s="2" t="s">
        <v>300</v>
      </c>
    </row>
    <row r="21" spans="1:1">
      <c r="A21" s="2" t="s">
        <v>301</v>
      </c>
    </row>
    <row r="22" spans="1:1">
      <c r="A22" s="2" t="s">
        <v>302</v>
      </c>
    </row>
    <row r="23" spans="1:1">
      <c r="A23" s="2" t="s">
        <v>303</v>
      </c>
    </row>
    <row r="24" spans="1:1">
      <c r="A24" s="2" t="s">
        <v>304</v>
      </c>
    </row>
    <row r="25" spans="1:1">
      <c r="A25" s="2" t="s">
        <v>305</v>
      </c>
    </row>
    <row r="26" spans="1:1">
      <c r="A26" s="2" t="s">
        <v>306</v>
      </c>
    </row>
    <row r="27" spans="1:1">
      <c r="A27" s="2" t="s">
        <v>307</v>
      </c>
    </row>
    <row r="28" spans="1:1">
      <c r="A28" s="2" t="s">
        <v>308</v>
      </c>
    </row>
    <row r="29" spans="1:1">
      <c r="A29" s="2" t="s">
        <v>309</v>
      </c>
    </row>
    <row r="30" spans="1:1">
      <c r="A30" s="2" t="s">
        <v>310</v>
      </c>
    </row>
    <row r="31" spans="1:1">
      <c r="A31" s="2" t="s">
        <v>311</v>
      </c>
    </row>
    <row r="32" spans="1:1">
      <c r="A32" s="2" t="s">
        <v>312</v>
      </c>
    </row>
    <row r="33" spans="1:1">
      <c r="A33" s="2" t="s">
        <v>313</v>
      </c>
    </row>
    <row r="34" spans="1:1">
      <c r="A34" s="2" t="s">
        <v>314</v>
      </c>
    </row>
    <row r="35" spans="1:1">
      <c r="A35" s="2" t="s">
        <v>315</v>
      </c>
    </row>
    <row r="36" spans="1:1">
      <c r="A36" s="2" t="s">
        <v>316</v>
      </c>
    </row>
    <row r="37" spans="1:1">
      <c r="A37" s="2" t="s">
        <v>317</v>
      </c>
    </row>
    <row r="38" spans="1:1">
      <c r="A38" s="2" t="s">
        <v>318</v>
      </c>
    </row>
    <row r="39" spans="1:1">
      <c r="A39" s="2" t="s">
        <v>319</v>
      </c>
    </row>
    <row r="40" spans="1:1">
      <c r="A40" s="2" t="s">
        <v>320</v>
      </c>
    </row>
    <row r="41" spans="1:1">
      <c r="A41" s="2" t="s">
        <v>321</v>
      </c>
    </row>
    <row r="42" spans="1:1">
      <c r="A42" s="2" t="s">
        <v>322</v>
      </c>
    </row>
    <row r="43" spans="1:1">
      <c r="A43" s="2" t="s">
        <v>323</v>
      </c>
    </row>
    <row r="44" spans="1:1">
      <c r="A44" s="2" t="s">
        <v>324</v>
      </c>
    </row>
    <row r="45" spans="1:1">
      <c r="A45" s="2" t="s">
        <v>308</v>
      </c>
    </row>
    <row r="46" spans="1:1">
      <c r="A46" s="2" t="s">
        <v>309</v>
      </c>
    </row>
    <row r="47" spans="1:1">
      <c r="A47" s="2" t="s">
        <v>310</v>
      </c>
    </row>
    <row r="48" spans="1:1">
      <c r="A48" s="2" t="s">
        <v>311</v>
      </c>
    </row>
    <row r="49" spans="1:1">
      <c r="A49" s="2" t="s">
        <v>312</v>
      </c>
    </row>
    <row r="50" spans="1:1">
      <c r="A50" s="2" t="s">
        <v>313</v>
      </c>
    </row>
    <row r="51" spans="1:1">
      <c r="A51" s="2" t="s">
        <v>314</v>
      </c>
    </row>
    <row r="52" spans="1:1">
      <c r="A52" s="2" t="s">
        <v>315</v>
      </c>
    </row>
    <row r="53" spans="1:1">
      <c r="A53" s="2" t="s">
        <v>316</v>
      </c>
    </row>
    <row r="54" spans="1:1">
      <c r="A54" s="2" t="s">
        <v>317</v>
      </c>
    </row>
    <row r="55" spans="1:1">
      <c r="A55" s="2" t="s">
        <v>318</v>
      </c>
    </row>
    <row r="56" spans="1:1">
      <c r="A56" s="2" t="s">
        <v>319</v>
      </c>
    </row>
    <row r="57" spans="1:1">
      <c r="A57" s="2" t="s">
        <v>320</v>
      </c>
    </row>
    <row r="58" spans="1:1">
      <c r="A58" s="2" t="s">
        <v>321</v>
      </c>
    </row>
    <row r="59" spans="1:1">
      <c r="A59" s="2" t="s">
        <v>322</v>
      </c>
    </row>
    <row r="60" spans="1:1">
      <c r="A60" s="2" t="s">
        <v>323</v>
      </c>
    </row>
    <row r="61" spans="1:1">
      <c r="A61" s="2" t="s">
        <v>324</v>
      </c>
    </row>
    <row r="62" spans="1:1">
      <c r="A62" s="2" t="s">
        <v>325</v>
      </c>
    </row>
    <row r="63" spans="1:1">
      <c r="A63" s="2" t="s">
        <v>326</v>
      </c>
    </row>
    <row r="64" spans="1:1">
      <c r="A64" s="2" t="s">
        <v>327</v>
      </c>
    </row>
    <row r="65" spans="1:1">
      <c r="A65" s="2" t="s">
        <v>332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1C160-0459-4D17-9A66-A6CCEAD00080}">
  <sheetPr codeName="Sheet2"/>
  <dimension ref="A1:J19"/>
  <sheetViews>
    <sheetView tabSelected="1" view="pageBreakPreview" zoomScaleNormal="100" zoomScaleSheetLayoutView="100" workbookViewId="0">
      <selection activeCell="P17" sqref="P17"/>
    </sheetView>
  </sheetViews>
  <sheetFormatPr defaultColWidth="9.1796875" defaultRowHeight="15"/>
  <cols>
    <col min="1" max="1" width="5.1796875" style="2" customWidth="1"/>
    <col min="2" max="7" width="9.1796875" style="2"/>
    <col min="8" max="8" width="9.1796875" style="85"/>
    <col min="9" max="9" width="9.1796875" style="2"/>
    <col min="10" max="10" width="35.6328125" style="2" bestFit="1" customWidth="1"/>
    <col min="11" max="16384" width="9.1796875" style="2"/>
  </cols>
  <sheetData>
    <row r="1" spans="1:10" ht="15.6" thickTop="1">
      <c r="A1" s="9"/>
      <c r="B1" s="9"/>
      <c r="C1" s="9"/>
      <c r="D1" s="9"/>
      <c r="E1" s="9"/>
      <c r="F1" s="9"/>
      <c r="G1" s="9"/>
      <c r="H1" s="84"/>
    </row>
    <row r="2" spans="1:10">
      <c r="A2" s="5"/>
      <c r="B2" s="5"/>
      <c r="C2" s="5"/>
      <c r="D2" s="5"/>
      <c r="E2" s="5"/>
      <c r="F2" s="5"/>
      <c r="G2" s="5"/>
    </row>
    <row r="3" spans="1:10" ht="22.8">
      <c r="A3" s="12" t="s">
        <v>8</v>
      </c>
      <c r="B3" s="5"/>
      <c r="C3" s="5"/>
      <c r="D3" s="5"/>
      <c r="E3" s="5"/>
      <c r="F3" s="5"/>
      <c r="G3" s="5"/>
      <c r="J3" s="128" t="s">
        <v>179</v>
      </c>
    </row>
    <row r="4" spans="1:10">
      <c r="A4" s="5"/>
      <c r="B4" s="5"/>
      <c r="C4" s="5"/>
      <c r="D4" s="5"/>
      <c r="E4" s="5"/>
      <c r="F4" s="5"/>
      <c r="G4" s="5"/>
    </row>
    <row r="5" spans="1:10">
      <c r="A5" s="10" t="s">
        <v>9</v>
      </c>
      <c r="B5" s="239" t="s">
        <v>99</v>
      </c>
      <c r="C5" s="240"/>
      <c r="D5" s="240"/>
      <c r="E5" s="240"/>
      <c r="F5" s="240"/>
      <c r="G5" s="240"/>
      <c r="H5" s="85">
        <v>3</v>
      </c>
      <c r="J5" s="2" t="s">
        <v>173</v>
      </c>
    </row>
    <row r="6" spans="1:10">
      <c r="A6" s="5"/>
      <c r="B6" s="5"/>
      <c r="C6" s="5"/>
      <c r="D6" s="5"/>
      <c r="E6" s="5"/>
      <c r="F6" s="5"/>
      <c r="G6" s="5"/>
    </row>
    <row r="7" spans="1:10">
      <c r="A7" s="10" t="s">
        <v>10</v>
      </c>
      <c r="B7" s="239" t="s">
        <v>100</v>
      </c>
      <c r="C7" s="240"/>
      <c r="D7" s="240"/>
      <c r="E7" s="240"/>
      <c r="F7" s="240"/>
      <c r="G7" s="240"/>
      <c r="H7" s="85">
        <v>9</v>
      </c>
      <c r="J7" s="2" t="s">
        <v>174</v>
      </c>
    </row>
    <row r="8" spans="1:10">
      <c r="A8" s="5"/>
      <c r="B8" s="11"/>
      <c r="C8" s="11"/>
      <c r="D8" s="11"/>
      <c r="E8" s="11"/>
      <c r="F8" s="11"/>
      <c r="G8" s="11"/>
    </row>
    <row r="9" spans="1:10">
      <c r="A9" s="10" t="s">
        <v>11</v>
      </c>
      <c r="B9" s="239" t="s">
        <v>101</v>
      </c>
      <c r="C9" s="240"/>
      <c r="D9" s="240"/>
      <c r="E9" s="240"/>
      <c r="F9" s="240"/>
      <c r="G9" s="240"/>
      <c r="H9" s="85">
        <v>13</v>
      </c>
      <c r="J9" s="2" t="s">
        <v>175</v>
      </c>
    </row>
    <row r="10" spans="1:10">
      <c r="A10" s="5"/>
      <c r="B10" s="11"/>
      <c r="C10" s="11"/>
      <c r="D10" s="11"/>
      <c r="E10" s="11"/>
      <c r="F10" s="11"/>
      <c r="G10" s="11"/>
    </row>
    <row r="11" spans="1:10">
      <c r="A11" s="10" t="s">
        <v>12</v>
      </c>
      <c r="B11" s="239" t="s">
        <v>102</v>
      </c>
      <c r="C11" s="240"/>
      <c r="D11" s="240"/>
      <c r="E11" s="240"/>
      <c r="F11" s="240"/>
      <c r="G11" s="240"/>
      <c r="H11" s="85">
        <v>14</v>
      </c>
      <c r="J11" s="2" t="s">
        <v>50</v>
      </c>
    </row>
    <row r="12" spans="1:10">
      <c r="A12" s="5"/>
      <c r="B12" s="5"/>
      <c r="C12" s="5"/>
      <c r="D12" s="5"/>
      <c r="E12" s="5"/>
      <c r="F12" s="5"/>
      <c r="G12" s="5"/>
    </row>
    <row r="13" spans="1:10">
      <c r="A13" s="239" t="s">
        <v>103</v>
      </c>
      <c r="B13" s="240"/>
      <c r="C13" s="240"/>
      <c r="D13" s="240"/>
      <c r="E13" s="240"/>
      <c r="F13" s="240"/>
      <c r="G13" s="240"/>
      <c r="H13" s="85">
        <v>16</v>
      </c>
      <c r="J13" s="2" t="s">
        <v>176</v>
      </c>
    </row>
    <row r="14" spans="1:10">
      <c r="A14" s="5"/>
      <c r="B14" s="5"/>
      <c r="C14" s="5"/>
      <c r="D14" s="5"/>
      <c r="E14" s="5"/>
      <c r="F14" s="5"/>
      <c r="G14" s="5"/>
    </row>
    <row r="15" spans="1:10">
      <c r="A15" s="239" t="s">
        <v>104</v>
      </c>
      <c r="B15" s="240"/>
      <c r="C15" s="240"/>
      <c r="D15" s="240"/>
      <c r="E15" s="240"/>
      <c r="F15" s="240"/>
      <c r="G15" s="240"/>
      <c r="H15" s="85">
        <v>18</v>
      </c>
      <c r="J15" s="2" t="s">
        <v>177</v>
      </c>
    </row>
    <row r="16" spans="1:10">
      <c r="A16" s="5"/>
      <c r="B16" s="5"/>
      <c r="C16" s="5"/>
      <c r="D16" s="5"/>
      <c r="E16" s="5"/>
      <c r="F16" s="5"/>
      <c r="G16" s="5"/>
    </row>
    <row r="17" spans="1:10">
      <c r="A17" s="239" t="s">
        <v>105</v>
      </c>
      <c r="B17" s="240"/>
      <c r="C17" s="240"/>
      <c r="D17" s="240"/>
      <c r="E17" s="240"/>
      <c r="F17" s="240"/>
      <c r="G17" s="240"/>
      <c r="H17" s="85">
        <v>29</v>
      </c>
      <c r="J17" s="2" t="s">
        <v>178</v>
      </c>
    </row>
    <row r="18" spans="1:10">
      <c r="A18" s="5"/>
      <c r="B18" s="5"/>
      <c r="C18" s="5"/>
      <c r="D18" s="5"/>
      <c r="E18" s="5"/>
      <c r="F18" s="5"/>
      <c r="G18" s="5"/>
    </row>
    <row r="19" spans="1:10">
      <c r="A19" s="5"/>
      <c r="B19" s="5"/>
      <c r="C19" s="5"/>
      <c r="D19" s="5"/>
      <c r="E19" s="5"/>
      <c r="F19" s="5"/>
      <c r="G19" s="5"/>
    </row>
  </sheetData>
  <mergeCells count="7">
    <mergeCell ref="A17:G17"/>
    <mergeCell ref="B5:G5"/>
    <mergeCell ref="B7:G7"/>
    <mergeCell ref="B9:G9"/>
    <mergeCell ref="B11:G11"/>
    <mergeCell ref="A13:G13"/>
    <mergeCell ref="A15:G15"/>
  </mergeCells>
  <phoneticPr fontId="33" type="noConversion"/>
  <pageMargins left="0.7" right="0.7" top="0.75" bottom="0.75" header="0.3" footer="0.3"/>
  <pageSetup orientation="portrait" r:id="rId1"/>
  <headerFooter>
    <oddFooter>&amp;C&amp;"Arial,Regular"&amp;8&amp;P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opulateContentsPageNumbers">
                <anchor moveWithCells="1" sizeWithCells="1">
                  <from>
                    <xdr:col>10</xdr:col>
                    <xdr:colOff>670560</xdr:colOff>
                    <xdr:row>6</xdr:row>
                    <xdr:rowOff>106680</xdr:rowOff>
                  </from>
                  <to>
                    <xdr:col>13</xdr:col>
                    <xdr:colOff>182880</xdr:colOff>
                    <xdr:row>9</xdr:row>
                    <xdr:rowOff>175260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9E340-3DDF-47FC-9D9A-B475A31DE501}">
  <sheetPr codeName="Sheet3"/>
  <dimension ref="A1:S228"/>
  <sheetViews>
    <sheetView tabSelected="1" view="pageBreakPreview" topLeftCell="A199" zoomScale="85" zoomScaleNormal="100" zoomScaleSheetLayoutView="85" zoomScalePageLayoutView="78" workbookViewId="0">
      <selection activeCell="P17" sqref="P17"/>
    </sheetView>
  </sheetViews>
  <sheetFormatPr defaultColWidth="9.1796875" defaultRowHeight="15"/>
  <cols>
    <col min="1" max="1" width="4.1796875" style="2" customWidth="1"/>
    <col min="2" max="2" width="20.36328125" style="2" customWidth="1"/>
    <col min="3" max="3" width="1.81640625" style="2" customWidth="1"/>
    <col min="4" max="4" width="18.6328125" style="2" customWidth="1"/>
    <col min="5" max="7" width="8.36328125" style="2" customWidth="1"/>
    <col min="8" max="8" width="6.90625" style="2" customWidth="1"/>
    <col min="9" max="16384" width="9.1796875" style="2"/>
  </cols>
  <sheetData>
    <row r="1" spans="1:8" ht="15.6" thickBot="1"/>
    <row r="2" spans="1:8" ht="15.6" thickTop="1">
      <c r="A2" s="21"/>
      <c r="B2" s="21"/>
      <c r="C2" s="21"/>
      <c r="D2" s="21"/>
      <c r="E2" s="21"/>
      <c r="F2" s="21"/>
      <c r="G2" s="21"/>
      <c r="H2" s="21"/>
    </row>
    <row r="3" spans="1:8" ht="22.8">
      <c r="A3" s="12" t="s">
        <v>13</v>
      </c>
      <c r="B3" s="12"/>
      <c r="C3" s="5"/>
      <c r="D3" s="5"/>
      <c r="E3" s="5"/>
      <c r="F3" s="5"/>
      <c r="G3" s="5"/>
      <c r="H3" s="5"/>
    </row>
    <row r="4" spans="1:8" ht="6.6" customHeight="1"/>
    <row r="5" spans="1:8">
      <c r="A5" s="15" t="s">
        <v>20</v>
      </c>
      <c r="B5" s="15"/>
      <c r="C5" s="5"/>
      <c r="D5" s="5"/>
      <c r="E5" s="5"/>
      <c r="F5" s="5"/>
      <c r="G5" s="5"/>
    </row>
    <row r="6" spans="1:8">
      <c r="A6" s="5"/>
      <c r="B6" s="5"/>
      <c r="C6" s="5"/>
      <c r="D6" s="5"/>
      <c r="E6" s="5"/>
      <c r="F6" s="5"/>
      <c r="G6" s="5"/>
    </row>
    <row r="7" spans="1:8" ht="15" customHeight="1">
      <c r="A7" s="13" t="s">
        <v>14</v>
      </c>
      <c r="B7" s="13"/>
      <c r="C7" s="14" t="s">
        <v>15</v>
      </c>
      <c r="D7" s="244" t="s">
        <v>391</v>
      </c>
      <c r="E7" s="244"/>
      <c r="F7" s="244"/>
      <c r="G7" s="244"/>
      <c r="H7" s="244"/>
    </row>
    <row r="8" spans="1:8">
      <c r="A8" s="13"/>
      <c r="B8" s="13"/>
      <c r="C8" s="14"/>
      <c r="D8" s="244"/>
      <c r="E8" s="244"/>
      <c r="F8" s="244"/>
      <c r="G8" s="244"/>
      <c r="H8" s="244"/>
    </row>
    <row r="9" spans="1:8">
      <c r="A9" s="13"/>
      <c r="B9" s="13"/>
      <c r="C9" s="14"/>
      <c r="D9" s="244"/>
      <c r="E9" s="244"/>
      <c r="F9" s="244"/>
      <c r="G9" s="244"/>
      <c r="H9" s="244"/>
    </row>
    <row r="10" spans="1:8">
      <c r="A10" s="13"/>
      <c r="B10" s="13"/>
      <c r="C10" s="14"/>
      <c r="D10" s="244"/>
      <c r="E10" s="244"/>
      <c r="F10" s="244"/>
      <c r="G10" s="244"/>
      <c r="H10" s="244"/>
    </row>
    <row r="11" spans="1:8">
      <c r="A11" s="13"/>
      <c r="B11" s="13"/>
      <c r="C11" s="14"/>
      <c r="D11" s="244"/>
      <c r="E11" s="244"/>
      <c r="F11" s="244"/>
      <c r="G11" s="244"/>
      <c r="H11" s="244"/>
    </row>
    <row r="12" spans="1:8">
      <c r="A12" s="13"/>
      <c r="B12" s="13"/>
      <c r="C12" s="14"/>
      <c r="D12" s="244"/>
      <c r="E12" s="244"/>
      <c r="F12" s="244"/>
      <c r="G12" s="244"/>
      <c r="H12" s="244"/>
    </row>
    <row r="13" spans="1:8">
      <c r="A13" s="13"/>
      <c r="B13" s="13"/>
      <c r="C13" s="14"/>
      <c r="D13" s="244"/>
      <c r="E13" s="244"/>
      <c r="F13" s="244"/>
      <c r="G13" s="244"/>
      <c r="H13" s="244"/>
    </row>
    <row r="14" spans="1:8">
      <c r="A14" s="13"/>
      <c r="B14" s="13"/>
      <c r="C14" s="14"/>
      <c r="D14" s="244"/>
      <c r="E14" s="244"/>
      <c r="F14" s="244"/>
      <c r="G14" s="244"/>
      <c r="H14" s="244"/>
    </row>
    <row r="15" spans="1:8">
      <c r="A15" s="13"/>
      <c r="B15" s="13"/>
      <c r="C15" s="14"/>
      <c r="D15" s="244"/>
      <c r="E15" s="244"/>
      <c r="F15" s="244"/>
      <c r="G15" s="244"/>
      <c r="H15" s="244"/>
    </row>
    <row r="16" spans="1:8">
      <c r="A16" s="13"/>
      <c r="B16" s="13"/>
      <c r="C16" s="14"/>
      <c r="D16" s="244"/>
      <c r="E16" s="244"/>
      <c r="F16" s="244"/>
      <c r="G16" s="244"/>
      <c r="H16" s="244"/>
    </row>
    <row r="17" spans="1:8">
      <c r="A17" s="13"/>
      <c r="B17" s="13"/>
      <c r="C17" s="14"/>
      <c r="D17" s="244"/>
      <c r="E17" s="244"/>
      <c r="F17" s="244"/>
      <c r="G17" s="244"/>
      <c r="H17" s="244"/>
    </row>
    <row r="18" spans="1:8">
      <c r="A18" s="13"/>
      <c r="B18" s="13"/>
      <c r="C18" s="14"/>
      <c r="D18" s="244"/>
      <c r="E18" s="244"/>
      <c r="F18" s="244"/>
      <c r="G18" s="244"/>
      <c r="H18" s="244"/>
    </row>
    <row r="19" spans="1:8">
      <c r="A19" s="13"/>
      <c r="B19" s="13"/>
      <c r="C19" s="14"/>
      <c r="D19" s="244"/>
      <c r="E19" s="244"/>
      <c r="F19" s="244"/>
      <c r="G19" s="244"/>
      <c r="H19" s="244"/>
    </row>
    <row r="20" spans="1:8">
      <c r="A20" s="13"/>
      <c r="B20" s="13"/>
      <c r="C20" s="14"/>
      <c r="D20" s="244"/>
      <c r="E20" s="244"/>
      <c r="F20" s="244"/>
      <c r="G20" s="244"/>
      <c r="H20" s="244"/>
    </row>
    <row r="21" spans="1:8">
      <c r="A21" s="13"/>
      <c r="B21" s="13"/>
      <c r="C21" s="14"/>
      <c r="D21" s="244"/>
      <c r="E21" s="244"/>
      <c r="F21" s="244"/>
      <c r="G21" s="244"/>
      <c r="H21" s="244"/>
    </row>
    <row r="22" spans="1:8">
      <c r="A22" s="13"/>
      <c r="B22" s="13"/>
      <c r="C22" s="14"/>
      <c r="D22" s="244"/>
      <c r="E22" s="244"/>
      <c r="F22" s="244"/>
      <c r="G22" s="244"/>
      <c r="H22" s="244"/>
    </row>
    <row r="23" spans="1:8">
      <c r="A23" s="13"/>
      <c r="B23" s="13"/>
      <c r="C23" s="14"/>
      <c r="D23" s="244"/>
      <c r="E23" s="244"/>
      <c r="F23" s="244"/>
      <c r="G23" s="244"/>
      <c r="H23" s="244"/>
    </row>
    <row r="24" spans="1:8">
      <c r="A24" s="13"/>
      <c r="B24" s="13"/>
      <c r="C24" s="14"/>
      <c r="D24" s="244"/>
      <c r="E24" s="244"/>
      <c r="F24" s="244"/>
      <c r="G24" s="244"/>
      <c r="H24" s="244"/>
    </row>
    <row r="25" spans="1:8">
      <c r="A25" s="13"/>
      <c r="B25" s="13"/>
      <c r="C25" s="14"/>
      <c r="D25" s="14"/>
      <c r="E25" s="5"/>
      <c r="F25" s="5"/>
      <c r="G25" s="5"/>
    </row>
    <row r="26" spans="1:8">
      <c r="A26" s="13" t="s">
        <v>16</v>
      </c>
      <c r="B26" s="13"/>
      <c r="C26" s="14" t="s">
        <v>15</v>
      </c>
      <c r="D26" s="79" t="str">
        <f>'DATA ENTRY 2'!C7</f>
        <v>TLB Services</v>
      </c>
      <c r="E26" s="5"/>
      <c r="F26" s="5"/>
      <c r="G26" s="5"/>
    </row>
    <row r="27" spans="1:8">
      <c r="A27" s="13"/>
      <c r="B27" s="13"/>
      <c r="C27" s="14"/>
      <c r="D27" s="14"/>
      <c r="E27" s="5"/>
      <c r="F27" s="5"/>
      <c r="G27" s="5"/>
    </row>
    <row r="28" spans="1:8">
      <c r="A28" s="13" t="s">
        <v>17</v>
      </c>
      <c r="B28" s="13"/>
      <c r="C28" s="14" t="s">
        <v>15</v>
      </c>
      <c r="D28" s="79" t="str">
        <f>'DATA ENTRY 2'!C12</f>
        <v>Single Inspection</v>
      </c>
      <c r="E28" s="5"/>
      <c r="F28" s="5"/>
      <c r="G28" s="5"/>
    </row>
    <row r="29" spans="1:8">
      <c r="A29" s="13"/>
      <c r="B29" s="13"/>
      <c r="C29" s="14"/>
      <c r="D29" s="79"/>
      <c r="E29" s="5"/>
      <c r="F29" s="5"/>
      <c r="G29" s="5"/>
    </row>
    <row r="30" spans="1:8">
      <c r="A30" s="13" t="s">
        <v>124</v>
      </c>
      <c r="B30" s="13"/>
      <c r="C30" s="79" t="s">
        <v>15</v>
      </c>
      <c r="D30" s="79" t="str">
        <f>'DATA ENTRY 2'!C13</f>
        <v>N/A</v>
      </c>
      <c r="E30" s="5"/>
      <c r="F30" s="5"/>
      <c r="G30" s="5"/>
    </row>
    <row r="31" spans="1:8">
      <c r="A31" s="13"/>
      <c r="B31" s="13"/>
      <c r="C31" s="14"/>
      <c r="D31" s="14"/>
      <c r="E31" s="5"/>
      <c r="F31" s="5"/>
      <c r="G31" s="5"/>
    </row>
    <row r="32" spans="1:8">
      <c r="A32" s="13" t="s">
        <v>18</v>
      </c>
      <c r="B32" s="13"/>
      <c r="C32" s="14" t="s">
        <v>15</v>
      </c>
      <c r="D32" s="75" t="str">
        <f>'DATA ENTRY 2'!C9</f>
        <v>TLBS-000111</v>
      </c>
      <c r="E32" s="5"/>
      <c r="F32" s="5"/>
      <c r="G32" s="5"/>
    </row>
    <row r="33" spans="1:8">
      <c r="A33" s="13"/>
      <c r="B33" s="13"/>
      <c r="C33" s="14"/>
      <c r="D33" s="14"/>
      <c r="E33" s="5"/>
      <c r="F33" s="5"/>
      <c r="G33" s="5"/>
    </row>
    <row r="34" spans="1:8" ht="15.6" customHeight="1">
      <c r="A34" s="13" t="s">
        <v>19</v>
      </c>
      <c r="B34" s="13"/>
      <c r="C34" s="14" t="s">
        <v>15</v>
      </c>
      <c r="D34" s="248" t="str">
        <f>'DATA ENTRY 2'!C14</f>
        <v>Flat REDACTED, Regency Street, London, SW1P 4BE</v>
      </c>
      <c r="E34" s="248"/>
      <c r="F34" s="248"/>
      <c r="G34" s="248"/>
      <c r="H34" s="248"/>
    </row>
    <row r="35" spans="1:8">
      <c r="A35" s="5"/>
      <c r="B35" s="5"/>
      <c r="C35" s="5"/>
      <c r="D35" s="248"/>
      <c r="E35" s="248"/>
      <c r="F35" s="248"/>
      <c r="G35" s="248"/>
      <c r="H35" s="248"/>
    </row>
    <row r="36" spans="1:8">
      <c r="A36" s="13" t="s">
        <v>21</v>
      </c>
      <c r="B36" s="13"/>
      <c r="C36" s="14" t="s">
        <v>15</v>
      </c>
      <c r="D36" s="247" t="str">
        <f>'DATA ENTRY 2'!C5</f>
        <v>Miss REDACTED (Claimant)</v>
      </c>
      <c r="E36" s="247"/>
      <c r="F36" s="247"/>
      <c r="G36" s="247"/>
      <c r="H36" s="247"/>
    </row>
    <row r="37" spans="1:8">
      <c r="A37" s="13"/>
      <c r="B37" s="13"/>
      <c r="C37" s="14"/>
      <c r="D37" s="247"/>
      <c r="E37" s="247"/>
      <c r="F37" s="247"/>
      <c r="G37" s="247"/>
      <c r="H37" s="247"/>
    </row>
    <row r="38" spans="1:8">
      <c r="A38" s="13" t="s">
        <v>22</v>
      </c>
      <c r="B38" s="13"/>
      <c r="C38" s="14" t="s">
        <v>15</v>
      </c>
      <c r="D38" s="79" t="str">
        <f>'DATA ENTRY 2'!C6</f>
        <v>Westminster City Council</v>
      </c>
      <c r="E38" s="5"/>
    </row>
    <row r="39" spans="1:8">
      <c r="A39" s="13"/>
      <c r="B39" s="13"/>
      <c r="C39" s="14"/>
      <c r="D39" s="14"/>
      <c r="E39" s="5"/>
    </row>
    <row r="40" spans="1:8">
      <c r="A40" s="13" t="s">
        <v>23</v>
      </c>
      <c r="B40" s="13"/>
      <c r="C40" s="14" t="s">
        <v>15</v>
      </c>
      <c r="D40" s="14" t="s">
        <v>24</v>
      </c>
      <c r="E40" s="5"/>
    </row>
    <row r="41" spans="1:8">
      <c r="A41" s="1"/>
      <c r="B41" s="1"/>
      <c r="C41" s="1"/>
      <c r="D41" s="1"/>
      <c r="E41" s="5"/>
      <c r="F41" s="133"/>
      <c r="G41" s="133"/>
    </row>
    <row r="42" spans="1:8">
      <c r="A42" s="13" t="s">
        <v>25</v>
      </c>
      <c r="B42" s="13"/>
      <c r="C42" s="1" t="s">
        <v>15</v>
      </c>
      <c r="D42" s="199" t="s">
        <v>393</v>
      </c>
      <c r="E42" s="136"/>
      <c r="F42" s="246">
        <f>'DATA ENTRY 2'!C10</f>
        <v>46251</v>
      </c>
      <c r="G42" s="246"/>
    </row>
    <row r="43" spans="1:8">
      <c r="A43" s="17"/>
      <c r="B43" s="17"/>
      <c r="C43" s="1"/>
      <c r="D43" s="1"/>
      <c r="E43" s="136"/>
      <c r="F43" s="133"/>
      <c r="G43" s="133"/>
    </row>
    <row r="44" spans="1:8">
      <c r="A44" s="17"/>
      <c r="B44" s="17"/>
      <c r="C44" s="5"/>
      <c r="D44" s="199" t="s">
        <v>394</v>
      </c>
      <c r="E44" s="136"/>
      <c r="F44" s="246">
        <f>'DATA ENTRY 2'!C11</f>
        <v>46251</v>
      </c>
      <c r="G44" s="246"/>
    </row>
    <row r="45" spans="1:8" ht="15.6" thickBot="1"/>
    <row r="46" spans="1:8" ht="15.6" thickTop="1">
      <c r="A46" s="200"/>
      <c r="B46" s="106"/>
      <c r="C46" s="106"/>
      <c r="D46" s="201"/>
      <c r="E46" s="106"/>
      <c r="F46" s="106"/>
      <c r="G46" s="106"/>
      <c r="H46" s="106"/>
    </row>
    <row r="47" spans="1:8" ht="18" customHeight="1">
      <c r="A47" s="286" t="s">
        <v>121</v>
      </c>
      <c r="B47" s="287"/>
      <c r="C47" s="287"/>
      <c r="D47" s="288" t="s">
        <v>440</v>
      </c>
      <c r="E47" s="287"/>
      <c r="F47" s="287"/>
      <c r="G47" s="287"/>
      <c r="H47" s="287"/>
    </row>
    <row r="48" spans="1:8" ht="18" customHeight="1">
      <c r="A48" s="15"/>
      <c r="B48" s="73"/>
      <c r="C48" s="73"/>
      <c r="D48" s="249" t="s">
        <v>398</v>
      </c>
      <c r="E48" s="249"/>
      <c r="F48" s="249"/>
      <c r="G48" s="249"/>
      <c r="H48" s="249"/>
    </row>
    <row r="49" spans="1:8" ht="18" customHeight="1">
      <c r="A49" s="15"/>
      <c r="B49" s="13"/>
      <c r="C49"/>
      <c r="D49" s="249"/>
      <c r="E49" s="249"/>
      <c r="F49" s="249"/>
      <c r="G49" s="249"/>
      <c r="H49" s="249"/>
    </row>
    <row r="50" spans="1:8" ht="18" customHeight="1">
      <c r="A50" s="73"/>
      <c r="B50" s="73"/>
      <c r="C50"/>
      <c r="D50" s="249"/>
      <c r="E50" s="249"/>
      <c r="F50" s="249"/>
      <c r="G50" s="249"/>
      <c r="H50" s="249"/>
    </row>
    <row r="51" spans="1:8" ht="18" customHeight="1">
      <c r="A51" s="73"/>
      <c r="B51" s="73"/>
      <c r="C51"/>
      <c r="D51" s="249"/>
      <c r="E51" s="249"/>
      <c r="F51" s="249"/>
      <c r="G51" s="249"/>
      <c r="H51" s="249"/>
    </row>
    <row r="52" spans="1:8" ht="7.2" customHeight="1">
      <c r="A52" s="15"/>
      <c r="B52" s="74"/>
      <c r="C52"/>
      <c r="D52" s="249"/>
      <c r="E52" s="249"/>
      <c r="F52" s="249"/>
      <c r="G52" s="249"/>
      <c r="H52" s="249"/>
    </row>
    <row r="53" spans="1:8" ht="9" customHeight="1">
      <c r="A53" s="15"/>
      <c r="B53" s="73"/>
      <c r="C53"/>
      <c r="D53" s="203"/>
      <c r="E53" s="203"/>
      <c r="F53" s="203"/>
      <c r="G53" s="203"/>
      <c r="H53" s="203"/>
    </row>
    <row r="54" spans="1:8" ht="18" customHeight="1">
      <c r="A54" s="15"/>
      <c r="B54" s="73"/>
      <c r="C54"/>
      <c r="D54" s="26" t="s">
        <v>441</v>
      </c>
      <c r="E54" s="203"/>
      <c r="F54" s="203"/>
      <c r="G54" s="203"/>
      <c r="H54" s="203"/>
    </row>
    <row r="55" spans="1:8" ht="18" customHeight="1">
      <c r="A55" s="15"/>
      <c r="B55" s="73"/>
      <c r="C55"/>
      <c r="D55" s="250" t="s">
        <v>403</v>
      </c>
      <c r="E55" s="250"/>
      <c r="F55" s="250"/>
      <c r="G55" s="250"/>
      <c r="H55" s="250"/>
    </row>
    <row r="56" spans="1:8" ht="18" customHeight="1">
      <c r="A56" s="15"/>
      <c r="B56" s="74"/>
      <c r="C56"/>
      <c r="D56" s="203"/>
      <c r="E56" s="203"/>
      <c r="F56" s="203"/>
      <c r="G56" s="203"/>
      <c r="H56" s="203"/>
    </row>
    <row r="57" spans="1:8" ht="18" customHeight="1">
      <c r="A57" s="15" t="s">
        <v>443</v>
      </c>
      <c r="B57" s="73"/>
      <c r="C57"/>
      <c r="D57" s="26" t="s">
        <v>442</v>
      </c>
      <c r="E57" s="203"/>
      <c r="F57" s="203"/>
      <c r="G57" s="203"/>
      <c r="H57" s="203"/>
    </row>
    <row r="58" spans="1:8" ht="18" customHeight="1">
      <c r="A58" s="15"/>
      <c r="B58" s="74"/>
      <c r="C58"/>
      <c r="D58" s="250" t="s">
        <v>409</v>
      </c>
      <c r="E58" s="250"/>
      <c r="F58" s="250"/>
      <c r="G58" s="250"/>
      <c r="H58" s="250"/>
    </row>
    <row r="59" spans="1:8" ht="18" customHeight="1">
      <c r="A59" s="15"/>
      <c r="B59" s="77"/>
      <c r="C59"/>
      <c r="D59" s="203"/>
      <c r="E59" s="203"/>
      <c r="F59" s="203"/>
      <c r="G59" s="203"/>
      <c r="H59" s="203"/>
    </row>
    <row r="60" spans="1:8" ht="18" customHeight="1">
      <c r="A60" s="15"/>
      <c r="B60" s="73"/>
      <c r="C60"/>
      <c r="D60" s="203"/>
      <c r="E60" s="203"/>
      <c r="F60" s="203"/>
      <c r="G60" s="203"/>
      <c r="H60" s="203"/>
    </row>
    <row r="61" spans="1:8" ht="18" customHeight="1">
      <c r="A61" s="15"/>
      <c r="B61" s="73"/>
      <c r="C61"/>
      <c r="D61" s="195"/>
      <c r="E61" s="195"/>
      <c r="F61" s="195"/>
      <c r="G61" s="195"/>
      <c r="H61" s="195"/>
    </row>
    <row r="62" spans="1:8" ht="18" customHeight="1">
      <c r="A62" s="13"/>
      <c r="B62" s="13"/>
      <c r="C62"/>
      <c r="D62" s="26"/>
      <c r="E62" s="191"/>
      <c r="F62" s="191"/>
      <c r="G62" s="191"/>
      <c r="H62" s="191"/>
    </row>
    <row r="63" spans="1:8" ht="18" customHeight="1">
      <c r="A63" s="13"/>
      <c r="B63"/>
      <c r="C63"/>
      <c r="D63" s="203"/>
      <c r="E63" s="203"/>
      <c r="F63" s="203"/>
      <c r="G63" s="203"/>
      <c r="H63" s="203"/>
    </row>
    <row r="64" spans="1:8" ht="18" customHeight="1">
      <c r="A64" s="13"/>
      <c r="B64"/>
      <c r="C64"/>
      <c r="D64" s="203"/>
      <c r="E64" s="203"/>
      <c r="F64" s="203"/>
      <c r="G64" s="203"/>
      <c r="H64" s="203"/>
    </row>
    <row r="65" spans="1:19" ht="18" customHeight="1">
      <c r="B65" s="13"/>
      <c r="C65"/>
      <c r="D65" s="24"/>
      <c r="E65" s="188"/>
      <c r="F65" s="188"/>
      <c r="G65" s="188"/>
      <c r="H65" s="188"/>
    </row>
    <row r="66" spans="1:19" ht="18" customHeight="1">
      <c r="A66" s="15"/>
      <c r="B66" s="79"/>
      <c r="C66"/>
      <c r="D66" s="24"/>
      <c r="E66" s="192"/>
      <c r="F66" s="192"/>
      <c r="G66" s="192"/>
      <c r="H66" s="192"/>
    </row>
    <row r="67" spans="1:19" ht="18" customHeight="1">
      <c r="B67" s="79"/>
      <c r="C67"/>
      <c r="D67" s="202"/>
      <c r="E67" s="202"/>
      <c r="F67" s="202"/>
      <c r="G67" s="202"/>
      <c r="H67" s="202"/>
    </row>
    <row r="68" spans="1:19" ht="18" customHeight="1">
      <c r="B68" s="79"/>
      <c r="C68"/>
      <c r="D68" s="202"/>
      <c r="E68" s="202"/>
      <c r="F68" s="202"/>
      <c r="G68" s="202"/>
      <c r="H68" s="202"/>
    </row>
    <row r="69" spans="1:19" ht="18" customHeight="1">
      <c r="B69" s="79"/>
      <c r="C69"/>
      <c r="D69" s="202"/>
      <c r="E69" s="202"/>
      <c r="F69" s="202"/>
      <c r="G69" s="202"/>
      <c r="H69" s="202"/>
    </row>
    <row r="70" spans="1:19" ht="18" customHeight="1">
      <c r="B70" s="79"/>
      <c r="C70"/>
      <c r="D70" s="192"/>
      <c r="E70" s="192"/>
      <c r="F70" s="192"/>
      <c r="G70" s="192"/>
      <c r="H70" s="192"/>
    </row>
    <row r="71" spans="1:19" ht="18" customHeight="1">
      <c r="A71" s="15"/>
      <c r="B71" s="79"/>
      <c r="C71"/>
      <c r="D71" s="24"/>
      <c r="E71" s="192"/>
      <c r="F71" s="192"/>
      <c r="G71" s="192"/>
      <c r="H71" s="192"/>
    </row>
    <row r="72" spans="1:19" ht="18" customHeight="1">
      <c r="B72" s="79"/>
      <c r="C72"/>
      <c r="D72" s="202"/>
      <c r="E72" s="202"/>
      <c r="F72" s="202"/>
      <c r="G72" s="202"/>
      <c r="H72" s="202"/>
    </row>
    <row r="73" spans="1:19" ht="18" customHeight="1">
      <c r="A73" s="15"/>
      <c r="B73" s="79"/>
      <c r="C73"/>
      <c r="D73" s="26"/>
      <c r="E73" s="173"/>
      <c r="F73" s="173"/>
      <c r="G73" s="173"/>
      <c r="H73" s="173"/>
    </row>
    <row r="74" spans="1:19" ht="18" customHeight="1">
      <c r="A74" s="15"/>
      <c r="B74" s="79"/>
      <c r="C74"/>
      <c r="D74" s="26"/>
      <c r="E74" s="187"/>
      <c r="F74" s="187"/>
      <c r="G74" s="187"/>
      <c r="H74" s="187"/>
    </row>
    <row r="75" spans="1:19" ht="18" customHeight="1">
      <c r="A75" s="15"/>
      <c r="B75" s="79"/>
      <c r="C75"/>
      <c r="D75" s="203"/>
      <c r="E75" s="203"/>
      <c r="F75" s="203"/>
      <c r="G75" s="203"/>
      <c r="H75" s="203"/>
      <c r="M75" s="245"/>
      <c r="N75" s="245"/>
      <c r="O75" s="245"/>
      <c r="P75" s="245"/>
      <c r="Q75" s="245"/>
      <c r="R75" s="245"/>
      <c r="S75" s="245"/>
    </row>
    <row r="76" spans="1:19" ht="18" customHeight="1">
      <c r="A76" s="15"/>
      <c r="B76" s="79"/>
      <c r="C76"/>
      <c r="D76" s="191"/>
      <c r="E76" s="191"/>
      <c r="F76" s="191"/>
      <c r="G76" s="191"/>
      <c r="H76" s="191"/>
      <c r="M76" s="158"/>
      <c r="N76" s="158"/>
      <c r="O76" s="158"/>
      <c r="P76" s="158"/>
      <c r="Q76" s="158"/>
      <c r="R76" s="158"/>
      <c r="S76" s="158"/>
    </row>
    <row r="77" spans="1:19" ht="18" customHeight="1">
      <c r="A77" s="15"/>
      <c r="B77" s="79"/>
      <c r="C77"/>
      <c r="D77" s="162"/>
      <c r="E77" s="162"/>
      <c r="F77" s="162"/>
      <c r="G77" s="162"/>
      <c r="H77" s="162"/>
      <c r="M77" s="158"/>
      <c r="N77" s="158"/>
      <c r="O77" s="158"/>
      <c r="P77" s="158"/>
      <c r="Q77" s="158"/>
      <c r="R77" s="158"/>
      <c r="S77" s="158"/>
    </row>
    <row r="78" spans="1:19" ht="18" customHeight="1">
      <c r="A78" s="15"/>
      <c r="B78" s="79"/>
      <c r="C78"/>
      <c r="D78" s="162"/>
      <c r="E78" s="162"/>
      <c r="F78" s="162"/>
      <c r="G78" s="162"/>
      <c r="H78" s="162"/>
      <c r="M78" s="158"/>
      <c r="N78" s="158"/>
      <c r="O78" s="158"/>
      <c r="P78" s="158"/>
      <c r="Q78" s="158"/>
      <c r="R78" s="158"/>
      <c r="S78" s="158"/>
    </row>
    <row r="79" spans="1:19" ht="18" customHeight="1">
      <c r="A79" s="15"/>
      <c r="B79" s="79"/>
      <c r="C79"/>
      <c r="D79" s="162"/>
      <c r="E79" s="162"/>
      <c r="F79" s="162"/>
      <c r="G79" s="162"/>
      <c r="H79" s="162"/>
      <c r="M79" s="158"/>
      <c r="N79" s="158"/>
      <c r="O79" s="158"/>
      <c r="P79" s="158"/>
      <c r="Q79" s="158"/>
      <c r="R79" s="158"/>
      <c r="S79" s="158"/>
    </row>
    <row r="80" spans="1:19" ht="18" customHeight="1">
      <c r="A80" s="15"/>
      <c r="B80" s="79"/>
      <c r="C80"/>
      <c r="D80" s="162"/>
      <c r="E80" s="162"/>
      <c r="F80" s="162"/>
      <c r="G80" s="162"/>
      <c r="H80" s="162"/>
      <c r="M80" s="158"/>
      <c r="N80" s="158"/>
      <c r="O80" s="158"/>
      <c r="P80" s="158"/>
      <c r="Q80" s="158"/>
      <c r="R80" s="158"/>
      <c r="S80" s="158"/>
    </row>
    <row r="81" spans="1:19" ht="18" customHeight="1">
      <c r="A81" s="15"/>
      <c r="B81" s="79"/>
      <c r="C81"/>
      <c r="D81" s="162"/>
      <c r="E81" s="162"/>
      <c r="F81" s="162"/>
      <c r="G81" s="162"/>
      <c r="H81" s="162"/>
      <c r="M81" s="158"/>
      <c r="N81" s="158"/>
      <c r="O81" s="158"/>
      <c r="P81" s="158"/>
      <c r="Q81" s="158"/>
      <c r="R81" s="158"/>
      <c r="S81" s="158"/>
    </row>
    <row r="82" spans="1:19" ht="18" customHeight="1">
      <c r="A82" s="15"/>
      <c r="B82" s="79"/>
      <c r="C82"/>
      <c r="D82" s="162"/>
      <c r="E82" s="162"/>
      <c r="F82" s="162"/>
      <c r="G82" s="162"/>
      <c r="H82" s="162"/>
      <c r="M82" s="158"/>
      <c r="N82" s="158"/>
      <c r="O82" s="158"/>
      <c r="P82" s="158"/>
      <c r="Q82" s="158"/>
      <c r="R82" s="158"/>
      <c r="S82" s="158"/>
    </row>
    <row r="83" spans="1:19" ht="18" customHeight="1" thickBot="1">
      <c r="B83" s="79"/>
      <c r="C83"/>
      <c r="D83" s="123"/>
      <c r="E83" s="123"/>
      <c r="F83" s="123"/>
      <c r="G83" s="123"/>
      <c r="H83" s="123"/>
    </row>
    <row r="84" spans="1:19" ht="15.6" thickTop="1">
      <c r="A84" s="115"/>
      <c r="B84" s="115"/>
      <c r="C84" s="115"/>
      <c r="D84" s="115"/>
      <c r="E84" s="115"/>
      <c r="F84" s="115"/>
      <c r="G84" s="115"/>
      <c r="H84" s="115"/>
    </row>
    <row r="85" spans="1:19">
      <c r="A85" s="13">
        <v>1.2</v>
      </c>
      <c r="B85" s="13" t="s">
        <v>26</v>
      </c>
      <c r="C85"/>
      <c r="D85" s="113"/>
      <c r="E85" s="113"/>
      <c r="F85" s="113"/>
      <c r="G85" s="113"/>
      <c r="H85" s="113"/>
    </row>
    <row r="86" spans="1:19">
      <c r="A86" s="13"/>
      <c r="B86"/>
      <c r="C86"/>
      <c r="D86" s="113"/>
      <c r="E86" s="113"/>
      <c r="F86" s="113"/>
      <c r="G86" s="113"/>
      <c r="H86" s="113"/>
    </row>
    <row r="87" spans="1:19">
      <c r="A87" s="13"/>
      <c r="B87"/>
      <c r="C87"/>
      <c r="D87" s="113"/>
      <c r="E87" s="113"/>
      <c r="F87" s="113"/>
      <c r="G87" s="113"/>
      <c r="H87" s="113"/>
    </row>
    <row r="88" spans="1:19">
      <c r="B88" s="13" t="s">
        <v>27</v>
      </c>
      <c r="C88" s="116" t="s">
        <v>15</v>
      </c>
      <c r="D88" s="117">
        <f>'DATA ENTRY 2'!C3</f>
        <v>46267</v>
      </c>
      <c r="E88" s="113"/>
      <c r="F88" s="113"/>
      <c r="G88" s="113"/>
      <c r="H88" s="113"/>
    </row>
    <row r="89" spans="1:19">
      <c r="B89" s="116"/>
      <c r="C89"/>
      <c r="D89" s="107"/>
      <c r="E89" s="113"/>
      <c r="F89" s="113"/>
      <c r="G89" s="113"/>
      <c r="H89" s="113"/>
    </row>
    <row r="90" spans="1:19">
      <c r="B90" s="116"/>
      <c r="C90"/>
      <c r="D90" s="107"/>
      <c r="E90" s="113"/>
      <c r="F90" s="113"/>
      <c r="G90" s="113"/>
      <c r="H90" s="113"/>
    </row>
    <row r="91" spans="1:19">
      <c r="B91" s="13" t="s">
        <v>28</v>
      </c>
      <c r="C91" s="116" t="s">
        <v>15</v>
      </c>
      <c r="D91" s="114" t="str">
        <f>'DATA ENTRY 2'!C15</f>
        <v>Wet</v>
      </c>
      <c r="E91" s="113"/>
      <c r="F91" s="113"/>
      <c r="G91" s="113"/>
      <c r="H91" s="113"/>
    </row>
    <row r="92" spans="1:19">
      <c r="B92" s="116"/>
      <c r="C92"/>
      <c r="D92" s="107"/>
      <c r="E92" s="113"/>
      <c r="F92" s="113"/>
      <c r="G92" s="113"/>
      <c r="H92" s="113"/>
    </row>
    <row r="93" spans="1:19">
      <c r="B93" s="116"/>
      <c r="C93"/>
      <c r="D93" s="107"/>
      <c r="E93" s="113"/>
      <c r="F93" s="113"/>
      <c r="G93" s="113"/>
      <c r="H93" s="113"/>
    </row>
    <row r="94" spans="1:19">
      <c r="B94" s="13" t="s">
        <v>29</v>
      </c>
      <c r="C94" s="116" t="s">
        <v>15</v>
      </c>
      <c r="D94" s="114">
        <f>'DATA ENTRY 2'!C16</f>
        <v>19</v>
      </c>
      <c r="E94" s="113"/>
      <c r="F94" s="113"/>
      <c r="G94" s="113"/>
      <c r="H94" s="113"/>
    </row>
    <row r="95" spans="1:19">
      <c r="B95" s="22"/>
      <c r="C95"/>
      <c r="D95" s="107"/>
      <c r="E95" s="113"/>
      <c r="F95" s="113"/>
      <c r="G95" s="113"/>
      <c r="H95" s="113"/>
    </row>
    <row r="96" spans="1:19">
      <c r="B96"/>
      <c r="C96"/>
      <c r="D96"/>
      <c r="E96" s="113"/>
      <c r="F96" s="113"/>
      <c r="G96" s="113"/>
      <c r="H96" s="113"/>
    </row>
    <row r="97" spans="2:9">
      <c r="B97" s="13" t="s">
        <v>182</v>
      </c>
      <c r="C97" s="116" t="s">
        <v>15</v>
      </c>
      <c r="D97" s="135" t="s">
        <v>183</v>
      </c>
      <c r="E97" s="137" t="str">
        <f>'DATA ENTRY 2'!C21</f>
        <v>Poor</v>
      </c>
      <c r="F97" s="113"/>
      <c r="G97" s="113"/>
      <c r="H97" s="113"/>
    </row>
    <row r="98" spans="2:9">
      <c r="B98"/>
      <c r="C98"/>
      <c r="D98" s="135" t="s">
        <v>184</v>
      </c>
      <c r="E98" s="137" t="str">
        <f>'DATA ENTRY 2'!C22</f>
        <v>Fair</v>
      </c>
      <c r="F98" s="113"/>
      <c r="G98" s="113"/>
      <c r="H98" s="113"/>
    </row>
    <row r="99" spans="2:9">
      <c r="B99"/>
      <c r="C99"/>
      <c r="D99"/>
      <c r="E99" s="113"/>
      <c r="F99" s="113"/>
      <c r="G99" s="113"/>
      <c r="H99" s="113"/>
    </row>
    <row r="100" spans="2:9">
      <c r="B100"/>
      <c r="C100"/>
      <c r="D100"/>
      <c r="E100" s="113"/>
      <c r="F100" s="113"/>
      <c r="G100" s="113"/>
      <c r="H100" s="113"/>
      <c r="I100" s="113"/>
    </row>
    <row r="101" spans="2:9">
      <c r="B101"/>
      <c r="C101"/>
      <c r="D101"/>
      <c r="E101" s="113"/>
      <c r="F101" s="113"/>
      <c r="G101" s="113"/>
      <c r="H101" s="113"/>
      <c r="I101" s="113"/>
    </row>
    <row r="102" spans="2:9" ht="15.45" customHeight="1">
      <c r="B102" s="24" t="s">
        <v>30</v>
      </c>
      <c r="C102" s="108" t="s">
        <v>15</v>
      </c>
      <c r="D102" s="241" t="str">
        <f>'DATA ENTRY 2'!C17</f>
        <v>The property is a self-contained flat arranged over one level. The subject property is located inside a purpose-built building which is of solid brick construction. The building consists of a pitched mansard roof with clay/concrete interlocking tiles. The approximate age of the building is circa 1900s.
The property comprises 1 x Living Room, 1 x Kitchen, 1 x Hallway, 1 x Bathroom, 1 x Separate WC, and 2 x Bedrooms.</v>
      </c>
      <c r="E102" s="241"/>
      <c r="F102" s="241"/>
      <c r="G102" s="241"/>
      <c r="H102" s="241"/>
      <c r="I102" s="113"/>
    </row>
    <row r="103" spans="2:9">
      <c r="B103" s="116"/>
      <c r="C103"/>
      <c r="D103" s="241"/>
      <c r="E103" s="241"/>
      <c r="F103" s="241"/>
      <c r="G103" s="241"/>
      <c r="H103" s="241"/>
      <c r="I103" s="113"/>
    </row>
    <row r="104" spans="2:9">
      <c r="B104" s="116"/>
      <c r="C104"/>
      <c r="D104" s="241"/>
      <c r="E104" s="241"/>
      <c r="F104" s="241"/>
      <c r="G104" s="241"/>
      <c r="H104" s="241"/>
      <c r="I104" s="113"/>
    </row>
    <row r="105" spans="2:9">
      <c r="C105"/>
      <c r="D105" s="241"/>
      <c r="E105" s="241"/>
      <c r="F105" s="241"/>
      <c r="G105" s="241"/>
      <c r="H105" s="241"/>
      <c r="I105" s="113" t="s">
        <v>166</v>
      </c>
    </row>
    <row r="106" spans="2:9">
      <c r="B106" s="113"/>
      <c r="C106" s="113"/>
      <c r="D106" s="241"/>
      <c r="E106" s="241"/>
      <c r="F106" s="241"/>
      <c r="G106" s="241"/>
      <c r="H106" s="241"/>
      <c r="I106" s="113" t="s">
        <v>167</v>
      </c>
    </row>
    <row r="107" spans="2:9">
      <c r="B107" s="113"/>
      <c r="C107" s="113"/>
      <c r="D107" s="241"/>
      <c r="E107" s="241"/>
      <c r="F107" s="241"/>
      <c r="G107" s="241"/>
      <c r="H107" s="241"/>
      <c r="I107" s="113" t="s">
        <v>168</v>
      </c>
    </row>
    <row r="108" spans="2:9">
      <c r="B108" s="113"/>
      <c r="C108" s="113"/>
      <c r="D108" s="241"/>
      <c r="E108" s="241"/>
      <c r="F108" s="241"/>
      <c r="G108" s="241"/>
      <c r="H108" s="241"/>
      <c r="I108" s="113"/>
    </row>
    <row r="109" spans="2:9">
      <c r="B109" s="113"/>
      <c r="C109" s="113"/>
      <c r="D109" s="241"/>
      <c r="E109" s="241"/>
      <c r="F109" s="241"/>
      <c r="G109" s="241"/>
      <c r="H109" s="241"/>
      <c r="I109" s="113"/>
    </row>
    <row r="110" spans="2:9">
      <c r="B110" s="113"/>
      <c r="C110" s="113"/>
      <c r="D110" s="112"/>
      <c r="E110" s="112"/>
      <c r="F110" s="112"/>
      <c r="G110" s="112"/>
      <c r="H110" s="112"/>
      <c r="I110" s="113"/>
    </row>
    <row r="111" spans="2:9">
      <c r="B111" s="113"/>
      <c r="C111" s="113"/>
      <c r="D111" s="112"/>
      <c r="E111" s="112"/>
      <c r="F111" s="112"/>
      <c r="G111" s="112"/>
      <c r="H111" s="112"/>
      <c r="I111" s="113"/>
    </row>
    <row r="112" spans="2:9">
      <c r="B112" s="113"/>
      <c r="C112" s="113"/>
      <c r="D112" s="112"/>
      <c r="E112" s="112"/>
      <c r="F112" s="112"/>
      <c r="G112" s="112"/>
      <c r="H112" s="112"/>
      <c r="I112" s="113"/>
    </row>
    <row r="113" spans="1:9">
      <c r="A113" s="113"/>
      <c r="B113" s="113"/>
      <c r="C113" s="113"/>
      <c r="D113" s="113"/>
      <c r="E113" s="113"/>
      <c r="F113" s="113"/>
      <c r="G113" s="113"/>
      <c r="H113" s="113"/>
      <c r="I113" s="113"/>
    </row>
    <row r="114" spans="1:9">
      <c r="A114" s="113"/>
      <c r="B114" s="113"/>
      <c r="C114" s="113"/>
      <c r="D114" s="113"/>
      <c r="E114" s="113"/>
      <c r="F114" s="113"/>
      <c r="G114" s="113"/>
      <c r="H114" s="113"/>
    </row>
    <row r="115" spans="1:9">
      <c r="A115" s="113"/>
      <c r="B115" s="113"/>
      <c r="C115" s="113"/>
      <c r="D115" s="113"/>
      <c r="E115" s="113"/>
      <c r="F115" s="113"/>
      <c r="G115" s="113"/>
      <c r="H115" s="113"/>
    </row>
    <row r="116" spans="1:9">
      <c r="A116" s="113"/>
      <c r="B116" s="113"/>
      <c r="C116" s="113"/>
      <c r="D116" s="113"/>
      <c r="E116" s="113"/>
      <c r="F116" s="113"/>
      <c r="G116" s="113"/>
      <c r="H116" s="113"/>
    </row>
    <row r="117" spans="1:9">
      <c r="A117" s="113"/>
      <c r="B117" s="113"/>
      <c r="C117" s="113"/>
      <c r="D117" s="113"/>
      <c r="E117" s="113"/>
      <c r="F117" s="113"/>
      <c r="G117" s="113"/>
      <c r="H117" s="113"/>
    </row>
    <row r="118" spans="1:9">
      <c r="A118" s="113"/>
      <c r="B118" s="113"/>
      <c r="C118" s="113"/>
      <c r="D118" s="113"/>
      <c r="E118" s="113"/>
      <c r="F118" s="113"/>
      <c r="G118" s="113"/>
      <c r="H118" s="113"/>
    </row>
    <row r="119" spans="1:9">
      <c r="A119" s="113"/>
      <c r="B119" s="113"/>
      <c r="C119" s="113"/>
      <c r="D119" s="113"/>
      <c r="E119" s="113"/>
      <c r="F119" s="113"/>
      <c r="G119" s="113"/>
      <c r="H119" s="113"/>
    </row>
    <row r="120" spans="1:9">
      <c r="A120" s="113"/>
      <c r="B120" s="113"/>
      <c r="C120" s="113"/>
      <c r="D120" s="113"/>
      <c r="E120" s="113"/>
      <c r="F120" s="113"/>
      <c r="G120" s="113"/>
      <c r="H120" s="113"/>
    </row>
    <row r="121" spans="1:9">
      <c r="A121" s="113"/>
      <c r="B121" s="113"/>
      <c r="C121" s="113"/>
      <c r="D121" s="113"/>
      <c r="E121" s="113"/>
      <c r="F121" s="113"/>
      <c r="G121" s="113"/>
      <c r="H121" s="113"/>
    </row>
    <row r="122" spans="1:9">
      <c r="A122" s="113"/>
      <c r="B122" s="113"/>
      <c r="C122" s="113"/>
      <c r="D122" s="113"/>
      <c r="E122" s="113"/>
      <c r="F122" s="113"/>
      <c r="G122" s="113"/>
      <c r="H122" s="113"/>
    </row>
    <row r="123" spans="1:9">
      <c r="A123" s="113"/>
      <c r="B123" s="113"/>
      <c r="C123" s="113"/>
      <c r="D123" s="113"/>
      <c r="E123" s="113"/>
      <c r="F123" s="113"/>
      <c r="G123" s="113"/>
      <c r="H123" s="113"/>
    </row>
    <row r="124" spans="1:9">
      <c r="A124" s="113"/>
      <c r="B124" s="113"/>
      <c r="C124" s="113"/>
      <c r="D124" s="113"/>
      <c r="E124" s="113"/>
      <c r="F124" s="113"/>
      <c r="G124" s="113"/>
      <c r="H124" s="113"/>
    </row>
    <row r="125" spans="1:9">
      <c r="A125" s="113"/>
      <c r="B125" s="113"/>
      <c r="C125" s="113"/>
      <c r="D125" s="113"/>
      <c r="E125" s="113"/>
      <c r="F125" s="113"/>
      <c r="G125" s="113"/>
      <c r="H125" s="113"/>
    </row>
    <row r="126" spans="1:9" ht="15.6" thickBot="1">
      <c r="A126" s="113"/>
      <c r="B126" s="113"/>
      <c r="C126" s="113"/>
      <c r="D126" s="113"/>
      <c r="E126" s="113"/>
      <c r="F126" s="113"/>
      <c r="G126" s="113"/>
      <c r="H126" s="113"/>
    </row>
    <row r="127" spans="1:9" ht="15.6" thickTop="1">
      <c r="A127" s="115"/>
      <c r="B127" s="115"/>
      <c r="C127" s="115"/>
      <c r="D127" s="115"/>
      <c r="E127" s="115"/>
      <c r="F127" s="115"/>
      <c r="G127" s="115"/>
      <c r="H127" s="115"/>
    </row>
    <row r="128" spans="1:9" ht="15.45" customHeight="1">
      <c r="A128" s="113"/>
      <c r="B128" s="26" t="s">
        <v>31</v>
      </c>
      <c r="C128" s="118" t="s">
        <v>15</v>
      </c>
      <c r="D128" s="243" t="s">
        <v>155</v>
      </c>
      <c r="E128" s="241"/>
      <c r="F128" s="241"/>
      <c r="G128" s="241"/>
      <c r="H128" s="241"/>
    </row>
    <row r="129" spans="1:8">
      <c r="A129" s="113"/>
      <c r="B129"/>
      <c r="C129" s="113"/>
      <c r="D129" s="241"/>
      <c r="E129" s="241"/>
      <c r="F129" s="241"/>
      <c r="G129" s="241"/>
      <c r="H129" s="241"/>
    </row>
    <row r="130" spans="1:8">
      <c r="A130" s="113"/>
      <c r="B130" s="119"/>
      <c r="C130" s="113"/>
      <c r="D130" s="241"/>
      <c r="E130" s="241"/>
      <c r="F130" s="241"/>
      <c r="G130" s="241"/>
      <c r="H130" s="241"/>
    </row>
    <row r="131" spans="1:8">
      <c r="A131" s="113"/>
      <c r="B131" s="116"/>
      <c r="C131" s="113"/>
      <c r="D131" s="241"/>
      <c r="E131" s="241"/>
      <c r="F131" s="241"/>
      <c r="G131" s="241"/>
      <c r="H131" s="241"/>
    </row>
    <row r="132" spans="1:8">
      <c r="A132" s="113"/>
      <c r="C132" s="113"/>
      <c r="D132" s="241"/>
      <c r="E132" s="241"/>
      <c r="F132" s="241"/>
      <c r="G132" s="241"/>
      <c r="H132" s="241"/>
    </row>
    <row r="133" spans="1:8">
      <c r="A133" s="113"/>
      <c r="B133" s="113"/>
      <c r="C133" s="113"/>
      <c r="D133" s="241"/>
      <c r="E133" s="241"/>
      <c r="F133" s="241"/>
      <c r="G133" s="241"/>
      <c r="H133" s="241"/>
    </row>
    <row r="134" spans="1:8">
      <c r="A134" s="113"/>
      <c r="B134" s="113"/>
      <c r="C134" s="113"/>
      <c r="D134" s="241"/>
      <c r="E134" s="241"/>
      <c r="F134" s="241"/>
      <c r="G134" s="241"/>
      <c r="H134" s="241"/>
    </row>
    <row r="135" spans="1:8">
      <c r="A135" s="113"/>
      <c r="B135" s="113"/>
      <c r="C135" s="113"/>
      <c r="D135" s="241"/>
      <c r="E135" s="241"/>
      <c r="F135" s="241"/>
      <c r="G135" s="241"/>
      <c r="H135" s="241"/>
    </row>
    <row r="136" spans="1:8">
      <c r="A136" s="113"/>
      <c r="B136" s="113"/>
      <c r="C136" s="113"/>
      <c r="D136" s="241"/>
      <c r="E136" s="241"/>
      <c r="F136" s="241"/>
      <c r="G136" s="241"/>
      <c r="H136" s="241"/>
    </row>
    <row r="137" spans="1:8">
      <c r="A137" s="113"/>
      <c r="B137" s="113"/>
      <c r="C137" s="113"/>
      <c r="D137" s="241"/>
      <c r="E137" s="241"/>
      <c r="F137" s="241"/>
      <c r="G137" s="241"/>
      <c r="H137" s="241"/>
    </row>
    <row r="138" spans="1:8">
      <c r="A138" s="113"/>
      <c r="B138" s="113"/>
      <c r="C138" s="113"/>
      <c r="D138" s="241"/>
      <c r="E138" s="241"/>
      <c r="F138" s="241"/>
      <c r="G138" s="241"/>
      <c r="H138" s="241"/>
    </row>
    <row r="139" spans="1:8">
      <c r="A139" s="113"/>
      <c r="B139" s="113"/>
      <c r="C139" s="113"/>
      <c r="D139" s="241"/>
      <c r="E139" s="241"/>
      <c r="F139" s="241"/>
      <c r="G139" s="241"/>
      <c r="H139" s="241"/>
    </row>
    <row r="140" spans="1:8">
      <c r="A140" s="113"/>
      <c r="B140" s="113"/>
      <c r="C140" s="113"/>
      <c r="D140" s="241"/>
      <c r="E140" s="241"/>
      <c r="F140" s="241"/>
      <c r="G140" s="241"/>
      <c r="H140" s="241"/>
    </row>
    <row r="141" spans="1:8">
      <c r="A141" s="113"/>
      <c r="B141" s="113"/>
      <c r="C141" s="113"/>
      <c r="D141" s="241"/>
      <c r="E141" s="241"/>
      <c r="F141" s="241"/>
      <c r="G141" s="241"/>
      <c r="H141" s="241"/>
    </row>
    <row r="142" spans="1:8">
      <c r="A142" s="113"/>
      <c r="B142" s="113"/>
      <c r="C142" s="113"/>
      <c r="D142" s="241"/>
      <c r="E142" s="241"/>
      <c r="F142" s="241"/>
      <c r="G142" s="241"/>
      <c r="H142" s="241"/>
    </row>
    <row r="143" spans="1:8">
      <c r="A143" s="113"/>
      <c r="B143" s="113"/>
      <c r="C143" s="113"/>
      <c r="D143" s="241"/>
      <c r="E143" s="241"/>
      <c r="F143" s="241"/>
      <c r="G143" s="241"/>
      <c r="H143" s="241"/>
    </row>
    <row r="144" spans="1:8">
      <c r="A144" s="113"/>
      <c r="B144" s="113"/>
      <c r="C144" s="113"/>
      <c r="D144" s="241"/>
      <c r="E144" s="241"/>
      <c r="F144" s="241"/>
      <c r="G144" s="241"/>
      <c r="H144" s="241"/>
    </row>
    <row r="145" spans="1:8">
      <c r="A145" s="113"/>
      <c r="B145" s="113"/>
      <c r="C145" s="113"/>
      <c r="D145" s="241"/>
      <c r="E145" s="241"/>
      <c r="F145" s="241"/>
      <c r="G145" s="241"/>
      <c r="H145" s="241"/>
    </row>
    <row r="146" spans="1:8">
      <c r="A146" s="113"/>
      <c r="B146" s="113"/>
      <c r="C146" s="113"/>
      <c r="D146" s="241"/>
      <c r="E146" s="241"/>
      <c r="F146" s="241"/>
      <c r="G146" s="241"/>
      <c r="H146" s="241"/>
    </row>
    <row r="147" spans="1:8">
      <c r="A147" s="113"/>
      <c r="B147" s="113"/>
      <c r="C147" s="113"/>
      <c r="D147" s="241"/>
      <c r="E147" s="241"/>
      <c r="F147" s="241"/>
      <c r="G147" s="241"/>
      <c r="H147" s="241"/>
    </row>
    <row r="148" spans="1:8">
      <c r="A148" s="113"/>
      <c r="B148" s="113"/>
      <c r="C148" s="113"/>
      <c r="D148" s="241"/>
      <c r="E148" s="241"/>
      <c r="F148" s="241"/>
      <c r="G148" s="241"/>
      <c r="H148" s="241"/>
    </row>
    <row r="149" spans="1:8">
      <c r="A149" s="113"/>
      <c r="B149" s="113"/>
      <c r="C149" s="113"/>
      <c r="D149" s="241"/>
      <c r="E149" s="241"/>
      <c r="F149" s="241"/>
      <c r="G149" s="241"/>
      <c r="H149" s="241"/>
    </row>
    <row r="150" spans="1:8">
      <c r="A150" s="113"/>
      <c r="B150" s="113"/>
      <c r="C150" s="113"/>
      <c r="D150" s="241"/>
      <c r="E150" s="241"/>
      <c r="F150" s="241"/>
      <c r="G150" s="241"/>
      <c r="H150" s="241"/>
    </row>
    <row r="151" spans="1:8">
      <c r="A151" s="113"/>
      <c r="B151" s="113"/>
      <c r="C151" s="113"/>
      <c r="D151" s="241"/>
      <c r="E151" s="241"/>
      <c r="F151" s="241"/>
      <c r="G151" s="241"/>
      <c r="H151" s="241"/>
    </row>
    <row r="152" spans="1:8">
      <c r="A152" s="113"/>
      <c r="B152" s="113"/>
      <c r="C152" s="113"/>
      <c r="D152" s="112"/>
      <c r="E152" s="112"/>
      <c r="F152" s="112"/>
      <c r="G152" s="112"/>
      <c r="H152" s="112"/>
    </row>
    <row r="153" spans="1:8">
      <c r="A153" s="113"/>
      <c r="B153" s="113"/>
      <c r="C153" s="113"/>
      <c r="D153" s="112"/>
      <c r="E153" s="112"/>
      <c r="F153" s="112"/>
      <c r="G153" s="112"/>
      <c r="H153" s="112"/>
    </row>
    <row r="154" spans="1:8">
      <c r="A154" s="113"/>
      <c r="B154" s="113"/>
      <c r="C154" s="113"/>
      <c r="D154" s="112"/>
      <c r="E154" s="112"/>
      <c r="F154" s="112"/>
      <c r="G154" s="112"/>
      <c r="H154" s="112"/>
    </row>
    <row r="155" spans="1:8">
      <c r="A155" s="113"/>
      <c r="B155" s="113"/>
      <c r="C155" s="113"/>
      <c r="D155" s="112"/>
      <c r="E155" s="112"/>
      <c r="F155" s="112"/>
      <c r="G155" s="112"/>
      <c r="H155" s="112"/>
    </row>
    <row r="156" spans="1:8">
      <c r="A156" s="113"/>
      <c r="B156" s="113"/>
      <c r="C156" s="113"/>
      <c r="D156" s="112"/>
      <c r="E156" s="112"/>
      <c r="F156" s="112"/>
      <c r="G156" s="112"/>
      <c r="H156" s="112"/>
    </row>
    <row r="157" spans="1:8">
      <c r="A157" s="113"/>
      <c r="B157" s="113"/>
      <c r="C157" s="113"/>
      <c r="D157" s="112"/>
      <c r="E157" s="112"/>
      <c r="F157" s="112"/>
      <c r="G157" s="112"/>
      <c r="H157" s="112"/>
    </row>
    <row r="158" spans="1:8">
      <c r="A158" s="113"/>
      <c r="B158" s="113"/>
      <c r="C158" s="113"/>
      <c r="D158" s="112"/>
      <c r="E158" s="112"/>
      <c r="F158" s="112"/>
      <c r="G158" s="112"/>
      <c r="H158" s="112"/>
    </row>
    <row r="159" spans="1:8">
      <c r="A159" s="113"/>
      <c r="B159" s="113"/>
      <c r="C159" s="113"/>
      <c r="D159" s="112"/>
      <c r="E159" s="112"/>
      <c r="F159" s="112"/>
      <c r="G159" s="112"/>
      <c r="H159" s="112"/>
    </row>
    <row r="160" spans="1:8">
      <c r="A160" s="113"/>
      <c r="B160" s="113"/>
      <c r="C160" s="113"/>
      <c r="D160" s="112"/>
      <c r="E160" s="112"/>
      <c r="F160" s="112"/>
      <c r="G160" s="112"/>
      <c r="H160" s="112"/>
    </row>
    <row r="161" spans="1:8">
      <c r="A161" s="113"/>
      <c r="B161" s="113"/>
      <c r="C161" s="113"/>
      <c r="D161" s="112"/>
      <c r="E161" s="112"/>
      <c r="F161" s="112"/>
      <c r="G161" s="112"/>
      <c r="H161" s="112"/>
    </row>
    <row r="162" spans="1:8">
      <c r="A162" s="113"/>
      <c r="B162" s="113"/>
      <c r="C162" s="113"/>
      <c r="D162" s="112"/>
      <c r="E162" s="112"/>
      <c r="F162" s="112"/>
      <c r="G162" s="112"/>
      <c r="H162" s="112"/>
    </row>
    <row r="163" spans="1:8">
      <c r="A163" s="113"/>
      <c r="B163" s="113"/>
      <c r="C163" s="113"/>
      <c r="D163" s="112"/>
      <c r="E163" s="112"/>
      <c r="F163" s="112"/>
      <c r="G163" s="112"/>
      <c r="H163" s="112"/>
    </row>
    <row r="164" spans="1:8">
      <c r="A164" s="113"/>
      <c r="B164" s="113"/>
      <c r="C164" s="113"/>
      <c r="D164" s="112"/>
      <c r="E164" s="112"/>
      <c r="F164" s="112"/>
      <c r="G164" s="112"/>
      <c r="H164" s="112"/>
    </row>
    <row r="165" spans="1:8">
      <c r="A165" s="113"/>
      <c r="B165" s="113"/>
      <c r="C165" s="113"/>
      <c r="D165" s="112"/>
      <c r="E165" s="112"/>
      <c r="F165" s="112"/>
      <c r="G165" s="112"/>
      <c r="H165" s="112"/>
    </row>
    <row r="166" spans="1:8">
      <c r="A166" s="113"/>
      <c r="B166" s="113"/>
      <c r="C166" s="113"/>
      <c r="D166" s="112"/>
      <c r="E166" s="112"/>
      <c r="F166" s="112"/>
      <c r="G166" s="112"/>
      <c r="H166" s="112"/>
    </row>
    <row r="167" spans="1:8">
      <c r="A167" s="113"/>
      <c r="B167" s="113"/>
      <c r="C167" s="113"/>
      <c r="D167" s="112"/>
      <c r="E167" s="112"/>
      <c r="F167" s="112"/>
      <c r="G167" s="112"/>
      <c r="H167" s="112"/>
    </row>
    <row r="168" spans="1:8">
      <c r="A168" s="113"/>
      <c r="B168" s="113"/>
      <c r="C168" s="113"/>
      <c r="D168" s="112"/>
      <c r="E168" s="112"/>
      <c r="F168" s="112"/>
      <c r="G168" s="112"/>
      <c r="H168" s="112"/>
    </row>
    <row r="169" spans="1:8">
      <c r="A169" s="113"/>
      <c r="B169" s="113"/>
      <c r="C169" s="113"/>
      <c r="D169" s="113"/>
      <c r="E169" s="113"/>
      <c r="F169" s="113"/>
      <c r="G169" s="113"/>
      <c r="H169" s="113"/>
    </row>
    <row r="170" spans="1:8" ht="15.6" thickBot="1">
      <c r="A170" s="113"/>
      <c r="B170" s="113"/>
      <c r="C170" s="113"/>
      <c r="D170" s="113"/>
      <c r="E170" s="113"/>
      <c r="F170" s="113"/>
      <c r="G170" s="113"/>
      <c r="H170" s="113"/>
    </row>
    <row r="171" spans="1:8" ht="15.6" thickTop="1">
      <c r="A171" s="115"/>
      <c r="B171" s="115"/>
      <c r="C171" s="115"/>
      <c r="D171" s="115"/>
      <c r="E171" s="115"/>
      <c r="F171" s="115"/>
      <c r="G171" s="115"/>
      <c r="H171" s="115"/>
    </row>
    <row r="172" spans="1:8">
      <c r="A172" s="113"/>
      <c r="B172" s="24" t="s">
        <v>32</v>
      </c>
      <c r="C172" s="109" t="s">
        <v>15</v>
      </c>
      <c r="D172" s="241" t="s">
        <v>156</v>
      </c>
      <c r="E172" s="241"/>
      <c r="F172" s="241"/>
      <c r="G172" s="241"/>
      <c r="H172" s="241"/>
    </row>
    <row r="173" spans="1:8">
      <c r="A173" s="113"/>
      <c r="B173" s="24"/>
      <c r="C173" s="109"/>
      <c r="D173" s="241"/>
      <c r="E173" s="241"/>
      <c r="F173" s="241"/>
      <c r="G173" s="241"/>
      <c r="H173" s="241"/>
    </row>
    <row r="174" spans="1:8">
      <c r="A174" s="113"/>
      <c r="B174" s="120"/>
      <c r="C174"/>
      <c r="D174" s="29"/>
      <c r="E174" s="118"/>
      <c r="F174" s="118"/>
      <c r="G174" s="118"/>
      <c r="H174" s="118"/>
    </row>
    <row r="175" spans="1:8" ht="15" customHeight="1">
      <c r="A175" s="113"/>
      <c r="B175" s="120"/>
      <c r="D175" s="241" t="s">
        <v>157</v>
      </c>
      <c r="E175" s="241"/>
      <c r="F175" s="241"/>
      <c r="G175" s="241"/>
      <c r="H175" s="241"/>
    </row>
    <row r="176" spans="1:8">
      <c r="A176" s="113"/>
      <c r="B176" s="120"/>
      <c r="D176" s="241"/>
      <c r="E176" s="241"/>
      <c r="F176" s="241"/>
      <c r="G176" s="241"/>
      <c r="H176" s="241"/>
    </row>
    <row r="177" spans="1:8">
      <c r="A177" s="113"/>
      <c r="B177" s="120"/>
      <c r="D177" s="241"/>
      <c r="E177" s="241"/>
      <c r="F177" s="241"/>
      <c r="G177" s="241"/>
      <c r="H177" s="241"/>
    </row>
    <row r="178" spans="1:8">
      <c r="A178" s="113"/>
      <c r="B178" s="120"/>
      <c r="D178" s="241"/>
      <c r="E178" s="241"/>
      <c r="F178" s="241"/>
      <c r="G178" s="241"/>
      <c r="H178" s="241"/>
    </row>
    <row r="179" spans="1:8">
      <c r="A179" s="113"/>
      <c r="B179" s="120"/>
      <c r="D179" s="241"/>
      <c r="E179" s="241"/>
      <c r="F179" s="241"/>
      <c r="G179" s="241"/>
      <c r="H179" s="241"/>
    </row>
    <row r="180" spans="1:8">
      <c r="A180" s="113"/>
      <c r="B180" s="120"/>
      <c r="D180" s="241"/>
      <c r="E180" s="241"/>
      <c r="F180" s="241"/>
      <c r="G180" s="241"/>
      <c r="H180" s="241"/>
    </row>
    <row r="181" spans="1:8">
      <c r="A181" s="113"/>
      <c r="B181" s="120"/>
      <c r="D181" s="241"/>
      <c r="E181" s="241"/>
      <c r="F181" s="241"/>
      <c r="G181" s="241"/>
      <c r="H181" s="241"/>
    </row>
    <row r="182" spans="1:8">
      <c r="A182" s="113"/>
      <c r="B182" s="116"/>
      <c r="C182"/>
      <c r="D182" s="121"/>
      <c r="E182" s="118"/>
      <c r="F182" s="118"/>
      <c r="G182" s="118"/>
      <c r="H182" s="118"/>
    </row>
    <row r="183" spans="1:8" ht="15" customHeight="1">
      <c r="A183" s="113"/>
      <c r="C183"/>
      <c r="D183" s="241" t="s">
        <v>158</v>
      </c>
      <c r="E183" s="241"/>
      <c r="F183" s="241"/>
      <c r="G183" s="241"/>
      <c r="H183" s="241"/>
    </row>
    <row r="184" spans="1:8">
      <c r="A184" s="113"/>
      <c r="C184"/>
      <c r="D184" s="241"/>
      <c r="E184" s="241"/>
      <c r="F184" s="241"/>
      <c r="G184" s="241"/>
      <c r="H184" s="241"/>
    </row>
    <row r="185" spans="1:8">
      <c r="A185" s="113"/>
      <c r="C185"/>
      <c r="D185" s="241"/>
      <c r="E185" s="241"/>
      <c r="F185" s="241"/>
      <c r="G185" s="241"/>
      <c r="H185" s="241"/>
    </row>
    <row r="186" spans="1:8">
      <c r="A186" s="113"/>
      <c r="C186"/>
      <c r="D186" s="241"/>
      <c r="E186" s="241"/>
      <c r="F186" s="241"/>
      <c r="G186" s="241"/>
      <c r="H186" s="241"/>
    </row>
    <row r="187" spans="1:8">
      <c r="A187" s="113"/>
      <c r="C187"/>
      <c r="D187" s="121"/>
      <c r="E187" s="118"/>
      <c r="F187" s="118"/>
      <c r="G187" s="118"/>
      <c r="H187" s="118"/>
    </row>
    <row r="188" spans="1:8">
      <c r="A188" s="113"/>
      <c r="C188"/>
      <c r="D188" s="241" t="s">
        <v>159</v>
      </c>
      <c r="E188" s="241"/>
      <c r="F188" s="241"/>
      <c r="G188" s="241"/>
      <c r="H188" s="241"/>
    </row>
    <row r="189" spans="1:8">
      <c r="A189" s="113"/>
      <c r="C189"/>
      <c r="D189" s="241"/>
      <c r="E189" s="241"/>
      <c r="F189" s="241"/>
      <c r="G189" s="241"/>
      <c r="H189" s="241"/>
    </row>
    <row r="190" spans="1:8">
      <c r="A190" s="113"/>
      <c r="C190"/>
      <c r="D190" s="241"/>
      <c r="E190" s="241"/>
      <c r="F190" s="241"/>
      <c r="G190" s="241"/>
      <c r="H190" s="241"/>
    </row>
    <row r="191" spans="1:8">
      <c r="A191" s="113"/>
      <c r="C191"/>
      <c r="D191" s="121"/>
      <c r="E191" s="118"/>
      <c r="F191" s="118"/>
      <c r="G191" s="118"/>
      <c r="H191" s="118"/>
    </row>
    <row r="192" spans="1:8">
      <c r="A192" s="113"/>
      <c r="C192"/>
      <c r="D192" s="241" t="s">
        <v>160</v>
      </c>
      <c r="E192" s="241"/>
      <c r="F192" s="241"/>
      <c r="G192" s="241"/>
      <c r="H192" s="241"/>
    </row>
    <row r="193" spans="1:8">
      <c r="A193" s="113"/>
      <c r="C193"/>
      <c r="D193" s="241"/>
      <c r="E193" s="241"/>
      <c r="F193" s="241"/>
      <c r="G193" s="241"/>
      <c r="H193" s="241"/>
    </row>
    <row r="194" spans="1:8">
      <c r="A194" s="113"/>
      <c r="C194"/>
      <c r="D194" s="121"/>
      <c r="E194" s="118"/>
      <c r="F194" s="118"/>
      <c r="G194" s="118"/>
      <c r="H194" s="118"/>
    </row>
    <row r="195" spans="1:8">
      <c r="A195" s="113"/>
      <c r="C195"/>
      <c r="D195" s="241" t="s">
        <v>161</v>
      </c>
      <c r="E195" s="241"/>
      <c r="F195" s="241"/>
      <c r="G195" s="241"/>
      <c r="H195" s="241"/>
    </row>
    <row r="196" spans="1:8">
      <c r="A196" s="113"/>
      <c r="C196"/>
      <c r="D196" s="241"/>
      <c r="E196" s="241"/>
      <c r="F196" s="241"/>
      <c r="G196" s="241"/>
      <c r="H196" s="241"/>
    </row>
    <row r="197" spans="1:8">
      <c r="A197" s="113"/>
      <c r="C197"/>
      <c r="D197" s="112"/>
      <c r="E197" s="112"/>
      <c r="F197" s="112"/>
      <c r="G197" s="112"/>
      <c r="H197" s="112"/>
    </row>
    <row r="198" spans="1:8">
      <c r="A198" s="113"/>
      <c r="C198"/>
      <c r="D198" s="112"/>
      <c r="E198" s="112"/>
      <c r="F198" s="112"/>
      <c r="G198" s="112"/>
      <c r="H198" s="112"/>
    </row>
    <row r="199" spans="1:8">
      <c r="A199" s="113"/>
      <c r="B199" s="13" t="s">
        <v>33</v>
      </c>
      <c r="C199" s="1" t="s">
        <v>15</v>
      </c>
      <c r="D199" s="118" t="s">
        <v>162</v>
      </c>
      <c r="E199" s="118"/>
      <c r="F199" s="118"/>
      <c r="G199" s="118"/>
      <c r="H199" s="118"/>
    </row>
    <row r="200" spans="1:8">
      <c r="A200" s="113"/>
      <c r="B200" s="116"/>
      <c r="C200"/>
      <c r="D200" s="118"/>
      <c r="E200" s="118"/>
      <c r="F200" s="118"/>
      <c r="G200" s="118"/>
      <c r="H200" s="118"/>
    </row>
    <row r="201" spans="1:8">
      <c r="A201" s="113"/>
      <c r="B201" s="116"/>
      <c r="D201" s="121" t="s">
        <v>163</v>
      </c>
      <c r="E201" s="118"/>
      <c r="F201" s="118"/>
      <c r="G201" s="118"/>
      <c r="H201" s="118"/>
    </row>
    <row r="202" spans="1:8">
      <c r="A202" s="113"/>
      <c r="B202" s="116"/>
      <c r="C202"/>
      <c r="D202" s="118"/>
      <c r="E202" s="118"/>
      <c r="F202" s="118"/>
      <c r="G202" s="118"/>
      <c r="H202" s="118"/>
    </row>
    <row r="203" spans="1:8">
      <c r="A203" s="113"/>
      <c r="B203" s="116"/>
      <c r="C203"/>
      <c r="D203" s="118"/>
      <c r="E203" s="118"/>
      <c r="F203" s="118"/>
      <c r="G203" s="118"/>
      <c r="H203" s="118"/>
    </row>
    <row r="204" spans="1:8">
      <c r="A204" s="113"/>
      <c r="B204" s="116"/>
      <c r="C204"/>
      <c r="D204" s="118"/>
      <c r="E204" s="118"/>
      <c r="F204" s="118"/>
      <c r="G204" s="118"/>
      <c r="H204" s="118"/>
    </row>
    <row r="205" spans="1:8">
      <c r="A205" s="113"/>
      <c r="B205" s="116"/>
      <c r="C205"/>
      <c r="D205" s="118"/>
      <c r="E205" s="118"/>
      <c r="F205" s="118"/>
      <c r="G205" s="118"/>
      <c r="H205" s="118"/>
    </row>
    <row r="206" spans="1:8">
      <c r="A206" s="113"/>
      <c r="B206" s="116"/>
      <c r="C206"/>
      <c r="D206" s="118"/>
      <c r="E206" s="118"/>
      <c r="F206" s="118"/>
      <c r="G206" s="118"/>
      <c r="H206" s="118"/>
    </row>
    <row r="207" spans="1:8">
      <c r="A207" s="113"/>
      <c r="B207" s="116"/>
      <c r="C207"/>
      <c r="D207" s="118"/>
      <c r="E207" s="118"/>
      <c r="F207" s="118"/>
      <c r="G207" s="118"/>
      <c r="H207" s="118"/>
    </row>
    <row r="208" spans="1:8">
      <c r="A208" s="113"/>
      <c r="B208" s="116"/>
      <c r="C208"/>
      <c r="D208" s="118"/>
      <c r="E208" s="118"/>
      <c r="F208" s="118"/>
      <c r="G208" s="118"/>
      <c r="H208" s="118"/>
    </row>
    <row r="209" spans="1:8">
      <c r="A209" s="113"/>
      <c r="B209" s="116"/>
      <c r="C209"/>
      <c r="D209" s="118"/>
      <c r="E209" s="118"/>
      <c r="F209" s="118"/>
      <c r="G209" s="118"/>
      <c r="H209" s="118"/>
    </row>
    <row r="210" spans="1:8">
      <c r="A210" s="113"/>
      <c r="B210" s="116"/>
      <c r="C210"/>
      <c r="D210" s="118"/>
      <c r="E210" s="118"/>
      <c r="F210" s="118"/>
      <c r="G210" s="118"/>
      <c r="H210" s="118"/>
    </row>
    <row r="211" spans="1:8">
      <c r="A211" s="113"/>
      <c r="B211" s="116"/>
      <c r="C211"/>
      <c r="D211" s="118"/>
      <c r="E211" s="118"/>
      <c r="F211" s="118"/>
      <c r="G211" s="118"/>
      <c r="H211" s="118"/>
    </row>
    <row r="212" spans="1:8">
      <c r="A212" s="113"/>
      <c r="B212" s="116"/>
      <c r="C212"/>
      <c r="D212" s="118"/>
      <c r="E212" s="118"/>
      <c r="F212" s="118"/>
      <c r="G212" s="118"/>
      <c r="H212" s="118"/>
    </row>
    <row r="213" spans="1:8">
      <c r="A213" s="113"/>
      <c r="B213" s="116"/>
      <c r="C213"/>
      <c r="D213" s="118"/>
      <c r="E213" s="118"/>
      <c r="F213" s="118"/>
      <c r="G213" s="118"/>
      <c r="H213" s="118"/>
    </row>
    <row r="214" spans="1:8" ht="15.6" thickBot="1">
      <c r="A214" s="113"/>
      <c r="B214" s="113"/>
      <c r="C214" s="113"/>
      <c r="D214" s="113"/>
      <c r="E214" s="113"/>
      <c r="F214" s="113"/>
      <c r="G214" s="113"/>
      <c r="H214" s="113"/>
    </row>
    <row r="215" spans="1:8" ht="15.6" thickTop="1">
      <c r="A215" s="115"/>
      <c r="B215" s="115"/>
      <c r="C215" s="115"/>
      <c r="D215" s="115"/>
      <c r="E215" s="115"/>
      <c r="F215" s="115"/>
      <c r="G215" s="115"/>
      <c r="H215" s="115"/>
    </row>
    <row r="216" spans="1:8" ht="118.05" customHeight="1">
      <c r="A216" s="113"/>
      <c r="B216" s="24" t="s">
        <v>34</v>
      </c>
      <c r="C216" s="109" t="s">
        <v>15</v>
      </c>
      <c r="D216" s="241" t="s">
        <v>164</v>
      </c>
      <c r="E216" s="241"/>
      <c r="F216" s="241"/>
      <c r="G216" s="241"/>
      <c r="H216" s="241"/>
    </row>
    <row r="217" spans="1:8">
      <c r="A217" s="113"/>
      <c r="B217"/>
      <c r="C217"/>
      <c r="D217" s="113"/>
      <c r="E217" s="113"/>
      <c r="F217" s="113"/>
      <c r="G217" s="113"/>
      <c r="H217" s="113"/>
    </row>
    <row r="218" spans="1:8">
      <c r="A218" s="113"/>
      <c r="B218"/>
      <c r="C218"/>
      <c r="D218" s="113"/>
      <c r="E218" s="113"/>
      <c r="F218" s="113"/>
      <c r="G218" s="113"/>
      <c r="H218" s="113"/>
    </row>
    <row r="219" spans="1:8">
      <c r="A219" s="113"/>
      <c r="B219" s="13" t="s">
        <v>35</v>
      </c>
      <c r="C219" s="1" t="s">
        <v>15</v>
      </c>
      <c r="D219" s="242" t="s">
        <v>165</v>
      </c>
      <c r="E219" s="242"/>
      <c r="F219" s="242"/>
      <c r="G219" s="242"/>
      <c r="H219" s="242"/>
    </row>
    <row r="220" spans="1:8">
      <c r="A220" s="113"/>
      <c r="B220" s="120"/>
      <c r="C220"/>
      <c r="D220" s="242"/>
      <c r="E220" s="242"/>
      <c r="F220" s="242"/>
      <c r="G220" s="242"/>
      <c r="H220" s="242"/>
    </row>
    <row r="221" spans="1:8">
      <c r="A221" s="113"/>
      <c r="B221" s="120"/>
      <c r="E221" s="113"/>
      <c r="F221" s="113"/>
      <c r="G221" s="113"/>
      <c r="H221" s="113"/>
    </row>
    <row r="222" spans="1:8">
      <c r="A222" s="113"/>
      <c r="B222" s="113"/>
      <c r="C222" s="113"/>
      <c r="D222" s="113"/>
      <c r="E222" s="113"/>
      <c r="F222" s="113"/>
      <c r="G222" s="113"/>
      <c r="H222" s="113"/>
    </row>
    <row r="223" spans="1:8">
      <c r="A223" s="113"/>
      <c r="B223" s="113"/>
      <c r="C223" s="113"/>
      <c r="D223" s="113"/>
      <c r="E223" s="113"/>
      <c r="F223" s="113"/>
      <c r="G223" s="113"/>
      <c r="H223" s="113"/>
    </row>
    <row r="224" spans="1:8">
      <c r="A224" s="113"/>
      <c r="B224" s="113"/>
      <c r="C224" s="113"/>
      <c r="D224" s="113"/>
      <c r="E224" s="113"/>
      <c r="F224" s="113"/>
      <c r="G224" s="113"/>
      <c r="H224" s="113"/>
    </row>
    <row r="225" spans="1:8">
      <c r="A225" s="113"/>
      <c r="B225" s="113"/>
      <c r="C225" s="113"/>
      <c r="D225" s="113"/>
      <c r="E225" s="113"/>
      <c r="F225" s="113"/>
      <c r="G225" s="113"/>
      <c r="H225" s="113"/>
    </row>
    <row r="226" spans="1:8">
      <c r="A226" s="113"/>
      <c r="B226" s="113"/>
      <c r="C226" s="113"/>
      <c r="D226" s="113"/>
      <c r="E226" s="113"/>
      <c r="F226" s="113"/>
      <c r="G226" s="113"/>
      <c r="H226" s="113"/>
    </row>
    <row r="227" spans="1:8">
      <c r="A227" s="113"/>
      <c r="B227" s="113"/>
      <c r="C227" s="113"/>
      <c r="D227" s="113"/>
      <c r="E227" s="113"/>
      <c r="F227" s="113"/>
      <c r="G227" s="113"/>
      <c r="H227" s="113"/>
    </row>
    <row r="228" spans="1:8">
      <c r="A228" s="113"/>
      <c r="B228" s="113"/>
      <c r="C228" s="113"/>
      <c r="D228" s="113"/>
      <c r="E228" s="113"/>
      <c r="F228" s="113"/>
      <c r="G228" s="113"/>
      <c r="H228" s="113"/>
    </row>
  </sheetData>
  <mergeCells count="19">
    <mergeCell ref="D7:H24"/>
    <mergeCell ref="M75:S75"/>
    <mergeCell ref="F42:G42"/>
    <mergeCell ref="F44:G44"/>
    <mergeCell ref="D36:H37"/>
    <mergeCell ref="D34:H35"/>
    <mergeCell ref="D48:H52"/>
    <mergeCell ref="D55:H55"/>
    <mergeCell ref="D58:H58"/>
    <mergeCell ref="D216:H216"/>
    <mergeCell ref="D219:H220"/>
    <mergeCell ref="D102:H109"/>
    <mergeCell ref="D128:H151"/>
    <mergeCell ref="D172:H173"/>
    <mergeCell ref="D175:H181"/>
    <mergeCell ref="D183:H186"/>
    <mergeCell ref="D188:H190"/>
    <mergeCell ref="D192:H193"/>
    <mergeCell ref="D195:H196"/>
  </mergeCells>
  <pageMargins left="0.7" right="0.7" top="0.75" bottom="0.75" header="0.3" footer="0.3"/>
  <pageSetup orientation="portrait" r:id="rId1"/>
  <headerFooter>
    <oddFooter>&amp;C&amp;"Arial,Regular"&amp;8&amp;P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6BDBE-FBC0-4270-AC5B-93702FDB8E76}">
  <sheetPr codeName="Sheet14"/>
  <dimension ref="A1"/>
  <sheetViews>
    <sheetView zoomScaleNormal="100" workbookViewId="0"/>
  </sheetViews>
  <sheetFormatPr defaultRowHeight="15"/>
  <cols>
    <col min="1" max="1" width="52" customWidth="1"/>
  </cols>
  <sheetData>
    <row r="1" spans="1:1">
      <c r="A1" s="95" t="s">
        <v>409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2EC64-08EE-48DD-B755-388D2D6736B7}">
  <sheetPr codeName="Sheet4"/>
  <dimension ref="A1:XFD1500"/>
  <sheetViews>
    <sheetView tabSelected="1" view="pageBreakPreview" zoomScale="70" zoomScaleNormal="100" zoomScaleSheetLayoutView="70" workbookViewId="0">
      <pane xSplit="1" ySplit="3" topLeftCell="B36" activePane="bottomRight" state="frozen"/>
      <selection activeCell="P17" sqref="P17"/>
      <selection pane="topRight" activeCell="P17" sqref="P17"/>
      <selection pane="bottomLeft" activeCell="P17" sqref="P17"/>
      <selection pane="bottomRight" activeCell="P17" sqref="P17"/>
    </sheetView>
  </sheetViews>
  <sheetFormatPr defaultColWidth="9.1796875" defaultRowHeight="15"/>
  <cols>
    <col min="1" max="1" width="3.1796875" style="2" customWidth="1"/>
    <col min="2" max="2" width="20.36328125" style="2" customWidth="1"/>
    <col min="3" max="3" width="1.81640625" style="2" customWidth="1"/>
    <col min="4" max="4" width="15.08984375" style="2" bestFit="1" customWidth="1"/>
    <col min="5" max="5" width="8.36328125" style="2" customWidth="1"/>
    <col min="6" max="6" width="11" style="2" customWidth="1"/>
    <col min="7" max="7" width="9.36328125" style="2" customWidth="1"/>
    <col min="8" max="8" width="6.08984375" style="2" customWidth="1"/>
    <col min="9" max="9" width="9.1796875" style="2"/>
    <col min="10" max="10" width="10.1796875" style="2" bestFit="1" customWidth="1"/>
    <col min="11" max="11" width="9.1796875" style="2"/>
    <col min="12" max="12" width="12.81640625" style="2" customWidth="1"/>
    <col min="13" max="16383" width="9.1796875" style="2"/>
    <col min="16384" max="16384" width="9.08984375" style="2" customWidth="1"/>
  </cols>
  <sheetData>
    <row r="1" spans="1:10 16384:16384" ht="15.6" thickBot="1">
      <c r="A1" s="5"/>
      <c r="B1" s="5"/>
      <c r="C1" s="5"/>
      <c r="D1" s="5"/>
      <c r="E1" s="5"/>
      <c r="F1" s="5"/>
      <c r="G1" s="5"/>
      <c r="H1" s="5"/>
      <c r="J1" s="161">
        <f>SUM(F:F)</f>
        <v>2270</v>
      </c>
    </row>
    <row r="2" spans="1:10 16384:16384" ht="15.6" thickTop="1">
      <c r="A2" s="21"/>
      <c r="B2" s="21"/>
      <c r="C2" s="21"/>
      <c r="D2" s="21"/>
      <c r="E2" s="21"/>
      <c r="F2" s="21"/>
      <c r="G2" s="21"/>
      <c r="H2" s="21"/>
      <c r="J2" s="143">
        <f>IFERROR(SUM(INDEX(F:F,MATCH("*Additional Claim Item*",A:A,0)+1):F1048507),0)</f>
        <v>624</v>
      </c>
    </row>
    <row r="3" spans="1:10 16384:16384" ht="22.8">
      <c r="A3" s="31" t="s">
        <v>36</v>
      </c>
      <c r="C3" s="5"/>
      <c r="D3" s="5"/>
      <c r="E3" s="5"/>
      <c r="F3" s="5"/>
      <c r="G3" s="5"/>
      <c r="H3" s="5"/>
      <c r="J3" s="134">
        <f>J1-J2</f>
        <v>1646</v>
      </c>
    </row>
    <row r="4" spans="1:10 16384:16384" ht="22.8">
      <c r="A4" s="5"/>
      <c r="B4" s="30"/>
      <c r="C4" s="5"/>
      <c r="D4" s="5"/>
      <c r="E4" s="5"/>
      <c r="F4" s="5"/>
      <c r="G4" s="5"/>
      <c r="H4" s="5"/>
    </row>
    <row r="5" spans="1:10 16384:16384" ht="15.6" customHeight="1">
      <c r="A5" s="251" t="s">
        <v>37</v>
      </c>
      <c r="B5" s="251"/>
      <c r="C5" s="251"/>
      <c r="D5" s="251"/>
      <c r="E5" s="251"/>
      <c r="F5" s="251"/>
      <c r="G5" s="251"/>
      <c r="H5" s="251"/>
    </row>
    <row r="6" spans="1:10 16384:16384">
      <c r="A6" s="251"/>
      <c r="B6" s="251"/>
      <c r="C6" s="251"/>
      <c r="D6" s="251"/>
      <c r="E6" s="251"/>
      <c r="F6" s="251"/>
      <c r="G6" s="251"/>
      <c r="H6" s="251"/>
    </row>
    <row r="7" spans="1:10 16384:16384" ht="8.4" customHeight="1">
      <c r="A7" s="5"/>
      <c r="B7" s="14"/>
      <c r="C7" s="5"/>
      <c r="D7" s="5"/>
      <c r="E7" s="5"/>
      <c r="F7" s="5"/>
      <c r="G7" s="5"/>
      <c r="H7" s="5"/>
    </row>
    <row r="8" spans="1:10 16384:16384" ht="15.6" customHeight="1">
      <c r="A8" s="252" t="s">
        <v>87</v>
      </c>
      <c r="B8" s="252"/>
      <c r="C8" s="252"/>
      <c r="D8" s="252"/>
      <c r="E8" s="252"/>
      <c r="F8" s="252"/>
      <c r="G8" s="252"/>
      <c r="H8" s="252"/>
      <c r="XFD8" s="181"/>
    </row>
    <row r="9" spans="1:10 16384:16384" ht="15" customHeight="1">
      <c r="A9"/>
      <c r="B9"/>
      <c r="C9"/>
      <c r="D9"/>
      <c r="E9"/>
      <c r="F9"/>
      <c r="G9"/>
      <c r="H9"/>
    </row>
    <row r="10" spans="1:10 16384:16384" ht="15" customHeight="1">
      <c r="A10" s="253" t="s">
        <v>422</v>
      </c>
      <c r="B10" s="253"/>
      <c r="C10" s="253"/>
      <c r="D10" s="253"/>
      <c r="E10" s="253"/>
      <c r="F10" s="253"/>
      <c r="G10" s="253"/>
      <c r="H10" s="253"/>
      <c r="XFD10" s="182"/>
    </row>
    <row r="11" spans="1:10 16384:16384" ht="55.2" customHeight="1">
      <c r="A11"/>
      <c r="B11" s="255" t="s">
        <v>398</v>
      </c>
      <c r="C11" s="255"/>
      <c r="D11" s="255"/>
      <c r="E11" s="255"/>
      <c r="F11" s="255"/>
      <c r="G11" s="255"/>
      <c r="H11" s="255"/>
      <c r="XFD11" s="205"/>
    </row>
    <row r="12" spans="1:10 16384:16384" ht="15" customHeight="1">
      <c r="A12"/>
      <c r="B12"/>
      <c r="C12"/>
      <c r="D12"/>
      <c r="E12"/>
      <c r="F12"/>
      <c r="G12"/>
      <c r="H12"/>
    </row>
    <row r="13" spans="1:10 16384:16384" ht="15" customHeight="1">
      <c r="A13"/>
      <c r="B13" s="254" t="s">
        <v>38</v>
      </c>
      <c r="C13" s="254"/>
      <c r="D13" s="254"/>
      <c r="E13" s="254"/>
      <c r="F13" s="254"/>
      <c r="G13" s="254"/>
      <c r="H13" s="254"/>
      <c r="XFD13" s="183"/>
    </row>
    <row r="14" spans="1:10 16384:16384" ht="151.80000000000001" customHeight="1">
      <c r="A14"/>
      <c r="B14" s="255" t="s">
        <v>414</v>
      </c>
      <c r="C14" s="255"/>
      <c r="D14" s="255"/>
      <c r="E14" s="255"/>
      <c r="F14" s="255"/>
      <c r="G14" s="255"/>
      <c r="H14" s="255"/>
      <c r="XFD14" s="205"/>
    </row>
    <row r="15" spans="1:10 16384:16384" ht="15" customHeight="1">
      <c r="A15"/>
      <c r="B15"/>
      <c r="C15"/>
      <c r="D15"/>
      <c r="E15"/>
      <c r="F15"/>
      <c r="G15"/>
      <c r="H15"/>
    </row>
    <row r="16" spans="1:10 16384:16384" ht="15" customHeight="1">
      <c r="A16"/>
      <c r="B16" s="254" t="s">
        <v>39</v>
      </c>
      <c r="C16" s="254"/>
      <c r="D16" s="254"/>
      <c r="E16" s="254"/>
      <c r="F16" s="254"/>
      <c r="G16" s="254"/>
      <c r="H16" s="254"/>
      <c r="XFD16" s="183"/>
    </row>
    <row r="17" spans="1:8 16384:16384" ht="138" customHeight="1">
      <c r="A17"/>
      <c r="B17" s="255" t="s">
        <v>423</v>
      </c>
      <c r="C17" s="255"/>
      <c r="D17" s="255"/>
      <c r="E17" s="255"/>
      <c r="F17" s="255"/>
      <c r="G17" s="255"/>
      <c r="H17" s="255"/>
      <c r="XFD17" s="205"/>
    </row>
    <row r="18" spans="1:8 16384:16384" ht="94.8" customHeight="1">
      <c r="A18"/>
      <c r="B18"/>
      <c r="C18"/>
      <c r="D18"/>
      <c r="E18"/>
      <c r="F18"/>
      <c r="G18"/>
      <c r="H18"/>
    </row>
    <row r="19" spans="1:8 16384:16384" ht="15" customHeight="1">
      <c r="A19"/>
      <c r="B19" s="254" t="s">
        <v>40</v>
      </c>
      <c r="C19" s="254"/>
      <c r="D19" s="254"/>
      <c r="E19" s="254"/>
      <c r="F19" s="254"/>
      <c r="G19" s="254"/>
      <c r="H19" s="254"/>
      <c r="XFD19" s="183"/>
    </row>
    <row r="20" spans="1:8 16384:16384" ht="409.05" customHeight="1">
      <c r="A20"/>
      <c r="B20" s="256" t="s">
        <v>416</v>
      </c>
      <c r="C20" s="256"/>
      <c r="D20" s="256"/>
      <c r="E20" s="256"/>
      <c r="F20" s="206">
        <v>1496</v>
      </c>
      <c r="G20"/>
      <c r="H20"/>
      <c r="XFD20" s="205"/>
    </row>
    <row r="21" spans="1:8 16384:16384" ht="15" customHeight="1">
      <c r="A21"/>
      <c r="B21"/>
      <c r="C21"/>
      <c r="D21"/>
      <c r="E21"/>
      <c r="F21"/>
      <c r="G21"/>
      <c r="H21"/>
    </row>
    <row r="22" spans="1:8 16384:16384" ht="15" customHeight="1" thickBot="1">
      <c r="A22" s="99"/>
      <c r="B22" s="99"/>
      <c r="C22" s="99"/>
      <c r="D22" s="99"/>
      <c r="E22" s="99"/>
      <c r="F22" s="99"/>
      <c r="G22" s="99"/>
      <c r="H22" s="99"/>
    </row>
    <row r="23" spans="1:8 16384:16384" ht="15" customHeight="1" thickTop="1">
      <c r="A23"/>
      <c r="B23"/>
      <c r="C23"/>
      <c r="D23"/>
      <c r="E23"/>
      <c r="F23"/>
      <c r="G23"/>
      <c r="H23"/>
    </row>
    <row r="24" spans="1:8 16384:16384" ht="15.6" customHeight="1">
      <c r="A24" s="252" t="s">
        <v>88</v>
      </c>
      <c r="B24" s="252"/>
      <c r="C24" s="252"/>
      <c r="D24" s="252"/>
      <c r="E24" s="252"/>
      <c r="F24" s="252"/>
      <c r="G24" s="252"/>
      <c r="H24" s="252"/>
      <c r="XFD24" s="181"/>
    </row>
    <row r="25" spans="1:8 16384:16384" ht="15" customHeight="1">
      <c r="A25"/>
      <c r="B25"/>
      <c r="C25"/>
      <c r="D25"/>
      <c r="E25"/>
      <c r="F25"/>
      <c r="G25"/>
      <c r="H25"/>
    </row>
    <row r="26" spans="1:8 16384:16384" ht="15" customHeight="1">
      <c r="A26" s="253" t="s">
        <v>424</v>
      </c>
      <c r="B26" s="253"/>
      <c r="C26" s="253"/>
      <c r="D26" s="253"/>
      <c r="E26" s="253"/>
      <c r="F26" s="253"/>
      <c r="G26" s="253"/>
      <c r="H26" s="253"/>
      <c r="XFD26" s="182"/>
    </row>
    <row r="27" spans="1:8 16384:16384" ht="15" customHeight="1">
      <c r="A27"/>
      <c r="B27" s="255" t="s">
        <v>403</v>
      </c>
      <c r="C27" s="255"/>
      <c r="D27" s="255"/>
      <c r="E27" s="255"/>
      <c r="F27" s="255"/>
      <c r="G27" s="255"/>
      <c r="H27" s="255"/>
      <c r="XFD27" s="205"/>
    </row>
    <row r="28" spans="1:8 16384:16384" ht="15" customHeight="1">
      <c r="A28"/>
      <c r="B28"/>
      <c r="C28"/>
      <c r="D28"/>
      <c r="E28"/>
      <c r="F28"/>
      <c r="G28"/>
      <c r="H28"/>
    </row>
    <row r="29" spans="1:8 16384:16384" ht="15" customHeight="1">
      <c r="A29"/>
      <c r="B29" s="254" t="s">
        <v>38</v>
      </c>
      <c r="C29" s="254"/>
      <c r="D29" s="254"/>
      <c r="E29" s="254"/>
      <c r="F29" s="254"/>
      <c r="G29" s="254"/>
      <c r="H29" s="254"/>
      <c r="XFD29" s="183"/>
    </row>
    <row r="30" spans="1:8 16384:16384" ht="69" customHeight="1">
      <c r="A30"/>
      <c r="B30" s="255" t="s">
        <v>417</v>
      </c>
      <c r="C30" s="255"/>
      <c r="D30" s="255"/>
      <c r="E30" s="255"/>
      <c r="F30" s="255"/>
      <c r="G30" s="255"/>
      <c r="H30" s="255"/>
      <c r="XFD30" s="205"/>
    </row>
    <row r="31" spans="1:8 16384:16384" ht="15" customHeight="1">
      <c r="A31"/>
      <c r="B31"/>
      <c r="C31"/>
      <c r="D31"/>
      <c r="E31"/>
      <c r="F31"/>
      <c r="G31"/>
      <c r="H31"/>
    </row>
    <row r="32" spans="1:8 16384:16384" ht="15" customHeight="1">
      <c r="A32"/>
      <c r="B32" s="254" t="s">
        <v>39</v>
      </c>
      <c r="C32" s="254"/>
      <c r="D32" s="254"/>
      <c r="E32" s="254"/>
      <c r="F32" s="254"/>
      <c r="G32" s="254"/>
      <c r="H32" s="254"/>
      <c r="XFD32" s="183"/>
    </row>
    <row r="33" spans="1:8 16384:16384" ht="69" customHeight="1">
      <c r="A33"/>
      <c r="B33" s="255" t="s">
        <v>405</v>
      </c>
      <c r="C33" s="255"/>
      <c r="D33" s="255"/>
      <c r="E33" s="255"/>
      <c r="F33" s="255"/>
      <c r="G33" s="255"/>
      <c r="H33" s="255"/>
      <c r="XFD33" s="205"/>
    </row>
    <row r="34" spans="1:8 16384:16384" ht="15" customHeight="1">
      <c r="A34"/>
      <c r="B34"/>
      <c r="C34"/>
      <c r="D34"/>
      <c r="E34"/>
      <c r="F34"/>
      <c r="G34"/>
      <c r="H34"/>
    </row>
    <row r="35" spans="1:8 16384:16384" ht="15" customHeight="1">
      <c r="A35"/>
      <c r="B35" s="254" t="s">
        <v>40</v>
      </c>
      <c r="C35" s="254"/>
      <c r="D35" s="254"/>
      <c r="E35" s="254"/>
      <c r="F35" s="254"/>
      <c r="G35" s="254"/>
      <c r="H35" s="254"/>
      <c r="XFD35" s="183"/>
    </row>
    <row r="36" spans="1:8 16384:16384" ht="69" customHeight="1">
      <c r="A36"/>
      <c r="B36" s="256" t="s">
        <v>425</v>
      </c>
      <c r="C36" s="256"/>
      <c r="D36" s="256"/>
      <c r="E36" s="256"/>
      <c r="F36" s="206">
        <v>150</v>
      </c>
      <c r="G36"/>
      <c r="H36"/>
      <c r="XFD36" s="205"/>
    </row>
    <row r="37" spans="1:8 16384:16384" ht="15" customHeight="1">
      <c r="A37"/>
      <c r="B37"/>
      <c r="C37"/>
      <c r="D37"/>
      <c r="E37"/>
      <c r="F37"/>
      <c r="G37"/>
      <c r="H37"/>
    </row>
    <row r="38" spans="1:8 16384:16384" ht="15" customHeight="1" thickBot="1">
      <c r="A38" s="99"/>
      <c r="B38" s="99"/>
      <c r="C38" s="99"/>
      <c r="D38" s="99"/>
      <c r="E38" s="99"/>
      <c r="F38" s="99"/>
      <c r="G38" s="99"/>
      <c r="H38" s="99"/>
    </row>
    <row r="39" spans="1:8 16384:16384" ht="15" customHeight="1" thickTop="1">
      <c r="A39"/>
      <c r="B39"/>
      <c r="C39"/>
      <c r="D39"/>
      <c r="E39"/>
      <c r="F39"/>
      <c r="G39"/>
      <c r="H39"/>
    </row>
    <row r="40" spans="1:8 16384:16384" ht="15.6" customHeight="1">
      <c r="A40" s="252" t="s">
        <v>89</v>
      </c>
      <c r="B40" s="252"/>
      <c r="C40" s="252"/>
      <c r="D40" s="252"/>
      <c r="E40" s="252"/>
      <c r="F40" s="252"/>
      <c r="G40" s="252"/>
      <c r="H40" s="252"/>
      <c r="XFD40" s="181"/>
    </row>
    <row r="41" spans="1:8 16384:16384" ht="15" customHeight="1">
      <c r="A41"/>
      <c r="B41"/>
      <c r="C41"/>
      <c r="D41"/>
      <c r="E41"/>
      <c r="F41"/>
      <c r="G41"/>
      <c r="H41"/>
    </row>
    <row r="42" spans="1:8 16384:16384" ht="15" customHeight="1">
      <c r="A42" s="253" t="s">
        <v>426</v>
      </c>
      <c r="B42" s="253"/>
      <c r="C42" s="253"/>
      <c r="D42" s="253"/>
      <c r="E42" s="253"/>
      <c r="F42" s="253"/>
      <c r="G42" s="253"/>
      <c r="H42" s="253"/>
      <c r="XFD42" s="182"/>
    </row>
    <row r="43" spans="1:8 16384:16384" ht="15" customHeight="1">
      <c r="A43"/>
      <c r="B43" s="255" t="s">
        <v>409</v>
      </c>
      <c r="C43" s="255"/>
      <c r="D43" s="255"/>
      <c r="E43" s="255"/>
      <c r="F43" s="255"/>
      <c r="G43" s="255"/>
      <c r="H43" s="255"/>
      <c r="XFD43" s="205"/>
    </row>
    <row r="44" spans="1:8 16384:16384" ht="15" customHeight="1">
      <c r="A44"/>
      <c r="B44"/>
      <c r="C44"/>
      <c r="D44"/>
      <c r="E44"/>
      <c r="F44"/>
      <c r="G44"/>
      <c r="H44"/>
    </row>
    <row r="45" spans="1:8 16384:16384" ht="15" customHeight="1">
      <c r="A45"/>
      <c r="B45" s="254" t="s">
        <v>38</v>
      </c>
      <c r="C45" s="254"/>
      <c r="D45" s="254"/>
      <c r="E45" s="254"/>
      <c r="F45" s="254"/>
      <c r="G45" s="254"/>
      <c r="H45" s="254"/>
      <c r="XFD45" s="183"/>
    </row>
    <row r="46" spans="1:8 16384:16384" ht="69" customHeight="1">
      <c r="A46"/>
      <c r="B46" s="255" t="s">
        <v>410</v>
      </c>
      <c r="C46" s="255"/>
      <c r="D46" s="255"/>
      <c r="E46" s="255"/>
      <c r="F46" s="255"/>
      <c r="G46" s="255"/>
      <c r="H46" s="255"/>
      <c r="XFD46" s="205"/>
    </row>
    <row r="47" spans="1:8 16384:16384" ht="15" customHeight="1">
      <c r="A47"/>
      <c r="B47"/>
      <c r="C47"/>
      <c r="D47"/>
      <c r="E47"/>
      <c r="F47"/>
      <c r="G47"/>
      <c r="H47"/>
    </row>
    <row r="48" spans="1:8 16384:16384" ht="15" customHeight="1">
      <c r="A48"/>
      <c r="B48" s="254" t="s">
        <v>39</v>
      </c>
      <c r="C48" s="254"/>
      <c r="D48" s="254"/>
      <c r="E48" s="254"/>
      <c r="F48" s="254"/>
      <c r="G48" s="254"/>
      <c r="H48" s="254"/>
      <c r="XFD48" s="183"/>
    </row>
    <row r="49" spans="1:8 16384:16384" ht="82.8" customHeight="1">
      <c r="A49"/>
      <c r="B49" s="255" t="s">
        <v>427</v>
      </c>
      <c r="C49" s="255"/>
      <c r="D49" s="255"/>
      <c r="E49" s="255"/>
      <c r="F49" s="255"/>
      <c r="G49" s="255"/>
      <c r="H49" s="255"/>
      <c r="XFD49" s="205"/>
    </row>
    <row r="50" spans="1:8 16384:16384" ht="15" customHeight="1">
      <c r="A50"/>
      <c r="B50"/>
      <c r="C50"/>
      <c r="D50"/>
      <c r="E50"/>
      <c r="F50"/>
      <c r="G50"/>
      <c r="H50"/>
    </row>
    <row r="51" spans="1:8 16384:16384" ht="15" customHeight="1">
      <c r="A51"/>
      <c r="B51" s="254" t="s">
        <v>40</v>
      </c>
      <c r="C51" s="254"/>
      <c r="D51" s="254"/>
      <c r="E51" s="254"/>
      <c r="F51" s="254"/>
      <c r="G51" s="254"/>
      <c r="H51" s="254"/>
      <c r="XFD51" s="183"/>
    </row>
    <row r="52" spans="1:8 16384:16384" ht="151.80000000000001" customHeight="1">
      <c r="A52"/>
      <c r="B52" s="256" t="s">
        <v>428</v>
      </c>
      <c r="C52" s="256"/>
      <c r="D52" s="256"/>
      <c r="E52" s="256"/>
      <c r="F52" s="206">
        <v>624</v>
      </c>
      <c r="G52"/>
      <c r="H52"/>
      <c r="XFD52" s="205"/>
    </row>
    <row r="53" spans="1:8 16384:16384" ht="15" customHeight="1">
      <c r="A53"/>
      <c r="B53"/>
      <c r="C53"/>
      <c r="D53"/>
      <c r="E53"/>
      <c r="F53"/>
      <c r="G53"/>
      <c r="H53"/>
    </row>
    <row r="54" spans="1:8 16384:16384" ht="15" customHeight="1">
      <c r="A54"/>
      <c r="B54"/>
      <c r="C54"/>
      <c r="D54"/>
      <c r="E54"/>
      <c r="F54"/>
      <c r="G54"/>
      <c r="H54"/>
    </row>
    <row r="55" spans="1:8 16384:16384" ht="15" customHeight="1">
      <c r="A55"/>
      <c r="B55"/>
      <c r="C55"/>
      <c r="D55"/>
      <c r="E55"/>
      <c r="F55"/>
      <c r="G55"/>
      <c r="H55"/>
    </row>
    <row r="56" spans="1:8 16384:16384" ht="15" customHeight="1">
      <c r="A56"/>
      <c r="B56"/>
      <c r="C56"/>
      <c r="D56"/>
      <c r="E56"/>
      <c r="F56"/>
      <c r="G56"/>
      <c r="H56"/>
    </row>
    <row r="57" spans="1:8 16384:16384" ht="15" customHeight="1">
      <c r="A57"/>
      <c r="B57"/>
      <c r="C57"/>
      <c r="D57"/>
      <c r="E57"/>
      <c r="F57"/>
      <c r="G57"/>
      <c r="H57"/>
    </row>
    <row r="58" spans="1:8 16384:16384" ht="15" customHeight="1">
      <c r="A58"/>
      <c r="B58"/>
      <c r="C58"/>
      <c r="D58"/>
      <c r="E58"/>
      <c r="F58"/>
      <c r="G58"/>
      <c r="H58"/>
    </row>
    <row r="59" spans="1:8 16384:16384" ht="15" customHeight="1">
      <c r="A59"/>
      <c r="B59"/>
      <c r="C59"/>
      <c r="D59"/>
      <c r="E59"/>
      <c r="F59"/>
      <c r="G59"/>
      <c r="H59"/>
    </row>
    <row r="60" spans="1:8 16384:16384" ht="15" customHeight="1">
      <c r="A60"/>
      <c r="B60"/>
      <c r="C60"/>
      <c r="D60"/>
      <c r="E60"/>
      <c r="F60"/>
      <c r="G60"/>
      <c r="H60"/>
    </row>
    <row r="61" spans="1:8 16384:16384" ht="15" customHeight="1">
      <c r="A61"/>
      <c r="B61"/>
      <c r="C61"/>
      <c r="D61"/>
      <c r="E61"/>
      <c r="F61"/>
      <c r="G61"/>
      <c r="H61"/>
    </row>
    <row r="62" spans="1:8 16384:16384" ht="15" customHeight="1">
      <c r="A62"/>
      <c r="B62"/>
      <c r="C62"/>
      <c r="D62"/>
      <c r="E62"/>
      <c r="F62"/>
      <c r="G62"/>
      <c r="H62"/>
    </row>
    <row r="63" spans="1:8 16384:16384" ht="15" customHeight="1">
      <c r="A63"/>
      <c r="B63"/>
      <c r="C63"/>
      <c r="D63"/>
      <c r="E63"/>
      <c r="F63"/>
      <c r="G63"/>
      <c r="H63"/>
    </row>
    <row r="64" spans="1:8 16384:16384" ht="15" customHeight="1">
      <c r="A64"/>
      <c r="B64"/>
      <c r="C64"/>
      <c r="D64"/>
      <c r="E64"/>
      <c r="F64"/>
      <c r="G64"/>
      <c r="H64"/>
    </row>
    <row r="65" spans="1:8" ht="15" customHeight="1">
      <c r="A65"/>
      <c r="B65"/>
      <c r="C65"/>
      <c r="D65"/>
      <c r="E65"/>
      <c r="F65"/>
      <c r="G65"/>
      <c r="H65"/>
    </row>
    <row r="66" spans="1:8" ht="15" customHeight="1">
      <c r="A66"/>
      <c r="B66"/>
      <c r="C66"/>
      <c r="D66"/>
      <c r="E66"/>
      <c r="F66"/>
      <c r="G66"/>
      <c r="H66"/>
    </row>
    <row r="67" spans="1:8" ht="15" customHeight="1">
      <c r="A67"/>
      <c r="B67"/>
      <c r="C67"/>
      <c r="D67"/>
      <c r="E67"/>
      <c r="F67"/>
      <c r="G67"/>
      <c r="H67"/>
    </row>
    <row r="68" spans="1:8" ht="15" customHeight="1">
      <c r="A68"/>
      <c r="B68"/>
      <c r="C68"/>
      <c r="D68"/>
      <c r="E68"/>
      <c r="F68"/>
      <c r="G68"/>
      <c r="H68"/>
    </row>
    <row r="69" spans="1:8" ht="15" customHeight="1">
      <c r="A69"/>
      <c r="B69"/>
      <c r="C69"/>
      <c r="D69"/>
      <c r="E69"/>
      <c r="F69"/>
      <c r="G69"/>
      <c r="H69"/>
    </row>
    <row r="70" spans="1:8" ht="15" customHeight="1">
      <c r="A70"/>
      <c r="B70"/>
      <c r="C70"/>
      <c r="D70"/>
      <c r="E70"/>
      <c r="F70"/>
      <c r="G70"/>
      <c r="H70"/>
    </row>
    <row r="71" spans="1:8" ht="15" customHeight="1">
      <c r="A71"/>
      <c r="B71"/>
      <c r="C71"/>
      <c r="D71"/>
      <c r="E71"/>
      <c r="F71"/>
      <c r="G71"/>
      <c r="H71"/>
    </row>
    <row r="72" spans="1:8" ht="15" customHeight="1">
      <c r="A72"/>
      <c r="B72"/>
      <c r="C72"/>
      <c r="D72"/>
      <c r="E72"/>
      <c r="F72"/>
      <c r="G72"/>
      <c r="H72"/>
    </row>
    <row r="73" spans="1:8" ht="15" customHeight="1">
      <c r="A73"/>
      <c r="B73"/>
      <c r="C73"/>
      <c r="D73"/>
      <c r="E73"/>
      <c r="F73"/>
      <c r="G73"/>
      <c r="H73"/>
    </row>
    <row r="74" spans="1:8" ht="15" customHeight="1">
      <c r="A74"/>
      <c r="B74"/>
      <c r="C74"/>
      <c r="D74"/>
      <c r="E74"/>
      <c r="F74"/>
      <c r="G74"/>
      <c r="H74"/>
    </row>
    <row r="75" spans="1:8" ht="15" customHeight="1">
      <c r="A75"/>
      <c r="B75"/>
      <c r="C75"/>
      <c r="D75"/>
      <c r="E75"/>
      <c r="F75"/>
      <c r="G75"/>
      <c r="H75"/>
    </row>
    <row r="76" spans="1:8" ht="15" customHeight="1">
      <c r="A76"/>
      <c r="B76"/>
      <c r="C76"/>
      <c r="D76"/>
      <c r="E76"/>
      <c r="F76"/>
      <c r="G76"/>
      <c r="H76"/>
    </row>
    <row r="77" spans="1:8" ht="15" customHeight="1">
      <c r="A77"/>
      <c r="B77"/>
      <c r="C77"/>
      <c r="D77"/>
      <c r="E77"/>
      <c r="F77"/>
      <c r="G77"/>
      <c r="H77"/>
    </row>
    <row r="78" spans="1:8" ht="15" customHeight="1">
      <c r="A78"/>
      <c r="B78"/>
      <c r="C78"/>
      <c r="D78"/>
      <c r="E78"/>
      <c r="F78"/>
      <c r="G78"/>
      <c r="H78"/>
    </row>
    <row r="79" spans="1:8" ht="15" customHeight="1">
      <c r="A79"/>
      <c r="B79"/>
      <c r="C79"/>
      <c r="D79"/>
      <c r="E79"/>
      <c r="F79"/>
      <c r="G79"/>
      <c r="H79"/>
    </row>
    <row r="80" spans="1:8" ht="15" customHeight="1">
      <c r="A80"/>
      <c r="B80"/>
      <c r="C80"/>
      <c r="D80"/>
      <c r="E80"/>
      <c r="F80"/>
      <c r="G80"/>
      <c r="H80"/>
    </row>
    <row r="81" spans="1:8" ht="15" customHeight="1">
      <c r="A81"/>
      <c r="B81"/>
      <c r="C81"/>
      <c r="D81"/>
      <c r="E81"/>
      <c r="F81"/>
      <c r="G81"/>
      <c r="H81"/>
    </row>
    <row r="82" spans="1:8" ht="15" customHeight="1">
      <c r="A82"/>
      <c r="B82"/>
      <c r="C82"/>
      <c r="D82"/>
      <c r="E82"/>
      <c r="F82"/>
      <c r="G82"/>
      <c r="H82"/>
    </row>
    <row r="83" spans="1:8" ht="15" customHeight="1">
      <c r="A83"/>
      <c r="B83"/>
      <c r="C83"/>
      <c r="D83"/>
      <c r="E83"/>
      <c r="F83"/>
      <c r="G83"/>
      <c r="H83"/>
    </row>
    <row r="84" spans="1:8" ht="15" customHeight="1">
      <c r="A84"/>
      <c r="B84"/>
      <c r="C84"/>
      <c r="D84"/>
      <c r="E84"/>
      <c r="F84"/>
      <c r="G84"/>
      <c r="H84"/>
    </row>
    <row r="85" spans="1:8" ht="15" customHeight="1">
      <c r="A85"/>
      <c r="B85"/>
      <c r="C85"/>
      <c r="D85"/>
      <c r="E85"/>
      <c r="F85"/>
      <c r="G85"/>
      <c r="H85"/>
    </row>
    <row r="86" spans="1:8" ht="15" customHeight="1">
      <c r="A86"/>
      <c r="B86"/>
      <c r="C86"/>
      <c r="D86"/>
      <c r="E86"/>
      <c r="F86"/>
      <c r="G86"/>
      <c r="H86"/>
    </row>
    <row r="87" spans="1:8" ht="15" customHeight="1">
      <c r="A87"/>
      <c r="B87"/>
      <c r="C87"/>
      <c r="D87"/>
      <c r="E87"/>
      <c r="F87"/>
      <c r="G87"/>
      <c r="H87"/>
    </row>
    <row r="88" spans="1:8" ht="15" customHeight="1">
      <c r="A88"/>
      <c r="B88"/>
      <c r="C88"/>
      <c r="D88"/>
      <c r="E88"/>
      <c r="F88"/>
      <c r="G88"/>
      <c r="H88"/>
    </row>
    <row r="89" spans="1:8" ht="15" customHeight="1">
      <c r="A89"/>
      <c r="B89"/>
      <c r="C89"/>
      <c r="D89"/>
      <c r="E89"/>
      <c r="F89"/>
      <c r="G89"/>
      <c r="H89"/>
    </row>
    <row r="90" spans="1:8" ht="15" customHeight="1">
      <c r="A90"/>
      <c r="B90"/>
      <c r="C90"/>
      <c r="D90"/>
      <c r="E90"/>
      <c r="F90"/>
      <c r="G90"/>
      <c r="H90"/>
    </row>
    <row r="91" spans="1:8" ht="15" customHeight="1">
      <c r="A91"/>
      <c r="B91"/>
      <c r="C91"/>
      <c r="D91"/>
      <c r="E91"/>
      <c r="F91"/>
      <c r="G91"/>
      <c r="H91"/>
    </row>
    <row r="92" spans="1:8" ht="15" customHeight="1">
      <c r="A92"/>
      <c r="B92"/>
      <c r="C92"/>
      <c r="D92"/>
      <c r="E92"/>
      <c r="F92"/>
      <c r="G92"/>
      <c r="H92"/>
    </row>
    <row r="93" spans="1:8" ht="15" customHeight="1">
      <c r="A93"/>
      <c r="B93"/>
      <c r="C93"/>
      <c r="D93"/>
      <c r="E93"/>
      <c r="F93"/>
      <c r="G93"/>
      <c r="H93"/>
    </row>
    <row r="94" spans="1:8" ht="15" customHeight="1">
      <c r="A94"/>
      <c r="B94"/>
      <c r="C94"/>
      <c r="D94"/>
      <c r="E94"/>
      <c r="F94"/>
      <c r="G94"/>
      <c r="H94"/>
    </row>
    <row r="95" spans="1:8" ht="15" customHeight="1">
      <c r="A95"/>
      <c r="B95"/>
      <c r="C95"/>
      <c r="D95"/>
      <c r="E95"/>
      <c r="F95"/>
      <c r="G95"/>
      <c r="H95"/>
    </row>
    <row r="96" spans="1:8" ht="15" customHeight="1">
      <c r="A96"/>
      <c r="B96"/>
      <c r="C96"/>
      <c r="D96"/>
      <c r="E96"/>
      <c r="F96"/>
      <c r="G96"/>
      <c r="H96"/>
    </row>
    <row r="97" spans="1:8" ht="15" customHeight="1">
      <c r="A97"/>
      <c r="B97"/>
      <c r="C97"/>
      <c r="D97"/>
      <c r="E97"/>
      <c r="F97"/>
      <c r="G97"/>
      <c r="H97"/>
    </row>
    <row r="98" spans="1:8" ht="15" customHeight="1">
      <c r="A98"/>
      <c r="B98"/>
      <c r="C98"/>
      <c r="D98"/>
      <c r="E98"/>
      <c r="F98"/>
      <c r="G98"/>
      <c r="H98"/>
    </row>
    <row r="99" spans="1:8" ht="15" customHeight="1">
      <c r="A99"/>
      <c r="B99"/>
      <c r="C99"/>
      <c r="D99"/>
      <c r="E99"/>
      <c r="F99"/>
      <c r="G99"/>
      <c r="H99"/>
    </row>
    <row r="100" spans="1:8" ht="15" customHeight="1">
      <c r="A100"/>
      <c r="B100"/>
      <c r="C100"/>
      <c r="D100"/>
      <c r="E100"/>
      <c r="F100"/>
      <c r="G100"/>
      <c r="H100"/>
    </row>
    <row r="101" spans="1:8" ht="15" customHeight="1">
      <c r="A101"/>
      <c r="B101"/>
      <c r="C101"/>
      <c r="D101"/>
      <c r="E101"/>
      <c r="F101"/>
      <c r="G101"/>
      <c r="H101"/>
    </row>
    <row r="102" spans="1:8" ht="15" customHeight="1">
      <c r="A102"/>
      <c r="B102"/>
      <c r="C102"/>
      <c r="D102"/>
      <c r="E102"/>
      <c r="F102"/>
      <c r="G102"/>
      <c r="H102"/>
    </row>
    <row r="103" spans="1:8" ht="15" customHeight="1">
      <c r="A103"/>
      <c r="B103"/>
      <c r="C103"/>
      <c r="D103"/>
      <c r="E103"/>
      <c r="F103"/>
      <c r="G103"/>
      <c r="H103"/>
    </row>
    <row r="104" spans="1:8" ht="15" customHeight="1">
      <c r="A104"/>
      <c r="B104"/>
      <c r="C104"/>
      <c r="D104"/>
      <c r="E104"/>
      <c r="F104"/>
      <c r="G104"/>
      <c r="H104"/>
    </row>
    <row r="105" spans="1:8" ht="15" customHeight="1">
      <c r="A105"/>
      <c r="B105"/>
      <c r="C105"/>
      <c r="D105"/>
      <c r="E105"/>
      <c r="F105"/>
      <c r="G105"/>
      <c r="H105"/>
    </row>
    <row r="106" spans="1:8" ht="15" customHeight="1">
      <c r="A106"/>
      <c r="B106"/>
      <c r="C106"/>
      <c r="D106"/>
      <c r="E106"/>
      <c r="F106"/>
      <c r="G106"/>
      <c r="H106"/>
    </row>
    <row r="107" spans="1:8" ht="15" customHeight="1">
      <c r="A107"/>
      <c r="B107"/>
      <c r="C107"/>
      <c r="D107"/>
      <c r="E107"/>
      <c r="F107"/>
      <c r="G107"/>
      <c r="H107"/>
    </row>
    <row r="108" spans="1:8" ht="15" customHeight="1">
      <c r="A108"/>
      <c r="B108"/>
      <c r="C108"/>
      <c r="D108"/>
      <c r="E108"/>
      <c r="F108"/>
      <c r="G108"/>
      <c r="H108"/>
    </row>
    <row r="109" spans="1:8" ht="15" customHeight="1">
      <c r="A109"/>
      <c r="B109"/>
      <c r="C109"/>
      <c r="D109"/>
      <c r="E109"/>
      <c r="F109"/>
      <c r="G109"/>
      <c r="H109"/>
    </row>
    <row r="110" spans="1:8" ht="15" customHeight="1">
      <c r="A110"/>
      <c r="B110"/>
      <c r="C110"/>
      <c r="D110"/>
      <c r="E110"/>
      <c r="F110"/>
      <c r="G110"/>
      <c r="H110"/>
    </row>
    <row r="111" spans="1:8" ht="15" customHeight="1">
      <c r="A111"/>
      <c r="B111"/>
      <c r="C111"/>
      <c r="D111"/>
      <c r="E111"/>
      <c r="F111"/>
      <c r="G111"/>
      <c r="H111"/>
    </row>
    <row r="112" spans="1:8" ht="15" customHeight="1">
      <c r="A112"/>
      <c r="B112"/>
      <c r="C112"/>
      <c r="D112"/>
      <c r="E112"/>
      <c r="F112"/>
      <c r="G112"/>
      <c r="H112"/>
    </row>
    <row r="113" spans="1:8" ht="15" customHeight="1">
      <c r="A113"/>
      <c r="B113"/>
      <c r="C113"/>
      <c r="D113"/>
      <c r="E113"/>
      <c r="F113"/>
      <c r="G113"/>
      <c r="H113"/>
    </row>
    <row r="114" spans="1:8" ht="15" customHeight="1">
      <c r="A114"/>
      <c r="B114"/>
      <c r="C114"/>
      <c r="D114"/>
      <c r="E114"/>
      <c r="F114"/>
      <c r="G114"/>
      <c r="H114"/>
    </row>
    <row r="115" spans="1:8" ht="15" customHeight="1">
      <c r="A115"/>
      <c r="B115"/>
      <c r="C115"/>
      <c r="D115"/>
      <c r="E115"/>
      <c r="F115"/>
      <c r="G115"/>
      <c r="H115"/>
    </row>
    <row r="116" spans="1:8" ht="15" customHeight="1">
      <c r="A116"/>
      <c r="B116"/>
      <c r="C116"/>
      <c r="D116"/>
      <c r="E116"/>
      <c r="F116"/>
      <c r="G116"/>
      <c r="H116"/>
    </row>
    <row r="117" spans="1:8" ht="15" customHeight="1">
      <c r="A117"/>
      <c r="B117"/>
      <c r="C117"/>
      <c r="D117"/>
      <c r="E117"/>
      <c r="F117"/>
      <c r="G117"/>
      <c r="H117"/>
    </row>
    <row r="118" spans="1:8" ht="15" customHeight="1">
      <c r="A118"/>
      <c r="B118"/>
      <c r="C118"/>
      <c r="D118"/>
      <c r="E118"/>
      <c r="F118"/>
      <c r="G118"/>
      <c r="H118"/>
    </row>
    <row r="119" spans="1:8" ht="15" customHeight="1">
      <c r="A119"/>
      <c r="B119"/>
      <c r="C119"/>
      <c r="D119"/>
      <c r="E119"/>
      <c r="F119"/>
      <c r="G119"/>
      <c r="H119"/>
    </row>
    <row r="120" spans="1:8" ht="15" customHeight="1">
      <c r="A120"/>
      <c r="B120"/>
      <c r="C120"/>
      <c r="D120"/>
      <c r="E120"/>
      <c r="F120"/>
      <c r="G120"/>
      <c r="H120"/>
    </row>
    <row r="121" spans="1:8" ht="15" customHeight="1">
      <c r="A121"/>
      <c r="B121"/>
      <c r="C121"/>
      <c r="D121"/>
      <c r="E121"/>
      <c r="F121"/>
      <c r="G121"/>
      <c r="H121"/>
    </row>
    <row r="122" spans="1:8" ht="15" customHeight="1">
      <c r="A122"/>
      <c r="B122"/>
      <c r="C122"/>
      <c r="D122"/>
      <c r="E122"/>
      <c r="F122"/>
      <c r="G122"/>
      <c r="H122"/>
    </row>
    <row r="123" spans="1:8" ht="15" customHeight="1">
      <c r="A123"/>
      <c r="B123"/>
      <c r="C123"/>
      <c r="D123"/>
      <c r="E123"/>
      <c r="F123"/>
      <c r="G123"/>
      <c r="H123"/>
    </row>
    <row r="124" spans="1:8" ht="15" customHeight="1">
      <c r="A124"/>
      <c r="B124"/>
      <c r="C124"/>
      <c r="D124"/>
      <c r="E124"/>
      <c r="F124"/>
      <c r="G124"/>
      <c r="H124"/>
    </row>
    <row r="125" spans="1:8" ht="15" customHeight="1">
      <c r="A125"/>
      <c r="B125"/>
      <c r="C125"/>
      <c r="D125"/>
      <c r="E125"/>
      <c r="F125"/>
      <c r="G125"/>
      <c r="H125"/>
    </row>
    <row r="126" spans="1:8" ht="15" customHeight="1">
      <c r="A126"/>
      <c r="B126"/>
      <c r="C126"/>
      <c r="D126"/>
      <c r="E126"/>
      <c r="F126"/>
      <c r="G126"/>
      <c r="H126"/>
    </row>
    <row r="127" spans="1:8" ht="15" customHeight="1">
      <c r="A127"/>
      <c r="B127"/>
      <c r="C127"/>
      <c r="D127"/>
      <c r="E127"/>
      <c r="F127"/>
      <c r="G127"/>
      <c r="H127"/>
    </row>
    <row r="128" spans="1:8" ht="15" customHeight="1">
      <c r="A128"/>
      <c r="B128"/>
      <c r="C128"/>
      <c r="D128"/>
      <c r="E128"/>
      <c r="F128"/>
      <c r="G128"/>
      <c r="H128"/>
    </row>
    <row r="129" spans="1:8" ht="15" customHeight="1">
      <c r="A129"/>
      <c r="B129"/>
      <c r="C129"/>
      <c r="D129"/>
      <c r="E129"/>
      <c r="F129"/>
      <c r="G129"/>
      <c r="H129"/>
    </row>
    <row r="130" spans="1:8" ht="15" customHeight="1">
      <c r="A130"/>
      <c r="B130"/>
      <c r="C130"/>
      <c r="D130"/>
      <c r="E130"/>
      <c r="F130"/>
      <c r="G130"/>
      <c r="H130"/>
    </row>
    <row r="131" spans="1:8" ht="15" customHeight="1">
      <c r="A131"/>
      <c r="B131"/>
      <c r="C131"/>
      <c r="D131"/>
      <c r="E131"/>
      <c r="F131"/>
      <c r="G131"/>
      <c r="H131"/>
    </row>
    <row r="132" spans="1:8" ht="15" customHeight="1">
      <c r="A132"/>
      <c r="B132"/>
      <c r="C132"/>
      <c r="D132"/>
      <c r="E132"/>
      <c r="F132"/>
      <c r="G132"/>
      <c r="H132"/>
    </row>
    <row r="133" spans="1:8" ht="15" customHeight="1">
      <c r="A133"/>
      <c r="B133"/>
      <c r="C133"/>
      <c r="D133"/>
      <c r="E133"/>
      <c r="F133"/>
      <c r="G133"/>
      <c r="H133"/>
    </row>
    <row r="134" spans="1:8" ht="15" customHeight="1">
      <c r="A134"/>
      <c r="B134"/>
      <c r="C134"/>
      <c r="D134"/>
      <c r="E134"/>
      <c r="F134"/>
      <c r="G134"/>
      <c r="H134"/>
    </row>
    <row r="135" spans="1:8" ht="15" customHeight="1">
      <c r="A135"/>
      <c r="B135"/>
      <c r="C135"/>
      <c r="D135"/>
      <c r="E135"/>
      <c r="F135"/>
      <c r="G135"/>
      <c r="H135"/>
    </row>
    <row r="136" spans="1:8" ht="15" customHeight="1">
      <c r="A136"/>
      <c r="B136"/>
      <c r="C136"/>
      <c r="D136"/>
      <c r="E136"/>
      <c r="F136"/>
      <c r="G136"/>
      <c r="H136"/>
    </row>
    <row r="137" spans="1:8" ht="15" customHeight="1">
      <c r="A137"/>
      <c r="B137"/>
      <c r="C137"/>
      <c r="D137"/>
      <c r="E137"/>
      <c r="F137"/>
      <c r="G137"/>
      <c r="H137"/>
    </row>
    <row r="138" spans="1:8" ht="15" customHeight="1">
      <c r="A138"/>
      <c r="B138"/>
      <c r="C138"/>
      <c r="D138"/>
      <c r="E138"/>
      <c r="F138"/>
      <c r="G138"/>
      <c r="H138"/>
    </row>
    <row r="139" spans="1:8" ht="15" customHeight="1">
      <c r="A139"/>
      <c r="B139"/>
      <c r="C139"/>
      <c r="D139"/>
      <c r="E139"/>
      <c r="F139"/>
      <c r="G139"/>
      <c r="H139"/>
    </row>
    <row r="140" spans="1:8" ht="15" customHeight="1">
      <c r="A140"/>
      <c r="B140"/>
      <c r="C140"/>
      <c r="D140"/>
      <c r="E140"/>
      <c r="F140"/>
      <c r="G140"/>
      <c r="H140"/>
    </row>
    <row r="141" spans="1:8" ht="15" customHeight="1">
      <c r="A141"/>
      <c r="B141"/>
      <c r="C141"/>
      <c r="D141"/>
      <c r="E141"/>
      <c r="F141"/>
      <c r="G141"/>
      <c r="H141"/>
    </row>
    <row r="142" spans="1:8" ht="15" customHeight="1">
      <c r="A142"/>
      <c r="B142"/>
      <c r="C142"/>
      <c r="D142"/>
      <c r="E142"/>
      <c r="F142"/>
      <c r="G142"/>
      <c r="H142"/>
    </row>
    <row r="143" spans="1:8" ht="15" customHeight="1">
      <c r="A143"/>
      <c r="B143"/>
      <c r="C143"/>
      <c r="D143"/>
      <c r="E143"/>
      <c r="F143"/>
      <c r="G143"/>
      <c r="H143"/>
    </row>
    <row r="144" spans="1:8" ht="15" customHeight="1">
      <c r="A144"/>
      <c r="B144"/>
      <c r="C144"/>
      <c r="D144"/>
      <c r="E144"/>
      <c r="F144"/>
      <c r="G144"/>
      <c r="H144"/>
    </row>
    <row r="145" spans="1:8" ht="15" customHeight="1">
      <c r="A145"/>
      <c r="B145"/>
      <c r="C145"/>
      <c r="D145"/>
      <c r="E145"/>
      <c r="F145"/>
      <c r="G145"/>
      <c r="H145"/>
    </row>
    <row r="146" spans="1:8" ht="15" customHeight="1">
      <c r="A146"/>
      <c r="B146"/>
      <c r="C146"/>
      <c r="D146"/>
      <c r="E146"/>
      <c r="F146"/>
      <c r="G146"/>
      <c r="H146"/>
    </row>
    <row r="147" spans="1:8" ht="15" customHeight="1">
      <c r="A147"/>
      <c r="B147"/>
      <c r="C147"/>
      <c r="D147"/>
      <c r="E147"/>
      <c r="F147"/>
      <c r="G147"/>
      <c r="H147"/>
    </row>
    <row r="148" spans="1:8" ht="15" customHeight="1">
      <c r="A148"/>
      <c r="B148"/>
      <c r="C148"/>
      <c r="D148"/>
      <c r="E148"/>
      <c r="F148"/>
      <c r="G148"/>
      <c r="H148"/>
    </row>
    <row r="149" spans="1:8" ht="15" customHeight="1">
      <c r="A149"/>
      <c r="B149"/>
      <c r="C149"/>
      <c r="D149"/>
      <c r="E149"/>
      <c r="F149"/>
      <c r="G149"/>
      <c r="H149"/>
    </row>
    <row r="150" spans="1:8" ht="15" customHeight="1">
      <c r="A150"/>
      <c r="B150"/>
      <c r="C150"/>
      <c r="D150"/>
      <c r="E150"/>
      <c r="F150"/>
      <c r="G150"/>
      <c r="H150"/>
    </row>
    <row r="151" spans="1:8" ht="15" customHeight="1">
      <c r="A151"/>
      <c r="B151"/>
      <c r="C151"/>
      <c r="D151"/>
      <c r="E151"/>
      <c r="F151"/>
      <c r="G151"/>
      <c r="H151"/>
    </row>
    <row r="152" spans="1:8" ht="15" customHeight="1">
      <c r="A152"/>
      <c r="B152"/>
      <c r="C152"/>
      <c r="D152"/>
      <c r="E152"/>
      <c r="F152"/>
      <c r="G152"/>
      <c r="H152"/>
    </row>
    <row r="153" spans="1:8" ht="15" customHeight="1">
      <c r="A153"/>
      <c r="B153"/>
      <c r="C153"/>
      <c r="D153"/>
      <c r="E153"/>
      <c r="F153"/>
      <c r="G153"/>
      <c r="H153"/>
    </row>
    <row r="154" spans="1:8" ht="15" customHeight="1">
      <c r="A154"/>
      <c r="B154"/>
      <c r="C154"/>
      <c r="D154"/>
      <c r="E154"/>
      <c r="F154"/>
      <c r="G154"/>
      <c r="H154"/>
    </row>
    <row r="155" spans="1:8" ht="15" customHeight="1">
      <c r="A155"/>
      <c r="B155"/>
      <c r="C155"/>
      <c r="D155"/>
      <c r="E155"/>
      <c r="F155"/>
      <c r="G155"/>
      <c r="H155"/>
    </row>
    <row r="156" spans="1:8" ht="15" customHeight="1">
      <c r="A156"/>
      <c r="B156"/>
      <c r="C156"/>
      <c r="D156"/>
      <c r="E156"/>
      <c r="F156"/>
      <c r="G156"/>
      <c r="H156"/>
    </row>
    <row r="157" spans="1:8" ht="15" customHeight="1">
      <c r="A157"/>
      <c r="B157"/>
      <c r="C157"/>
      <c r="D157"/>
      <c r="E157"/>
      <c r="F157"/>
      <c r="G157"/>
      <c r="H157"/>
    </row>
    <row r="158" spans="1:8" ht="15" customHeight="1">
      <c r="A158"/>
      <c r="B158"/>
      <c r="C158"/>
      <c r="D158"/>
      <c r="E158"/>
      <c r="F158"/>
      <c r="G158"/>
      <c r="H158"/>
    </row>
    <row r="159" spans="1:8" ht="15" customHeight="1">
      <c r="A159"/>
      <c r="B159"/>
      <c r="C159"/>
      <c r="D159"/>
      <c r="E159"/>
      <c r="F159"/>
      <c r="G159"/>
      <c r="H159"/>
    </row>
    <row r="160" spans="1:8" ht="15" customHeight="1">
      <c r="A160"/>
      <c r="B160"/>
      <c r="C160"/>
      <c r="D160"/>
      <c r="E160"/>
      <c r="F160"/>
      <c r="G160"/>
      <c r="H160"/>
    </row>
    <row r="161" spans="1:8" ht="15" customHeight="1">
      <c r="A161"/>
      <c r="B161"/>
      <c r="C161"/>
      <c r="D161"/>
      <c r="E161"/>
      <c r="F161"/>
      <c r="G161"/>
      <c r="H161"/>
    </row>
    <row r="162" spans="1:8" ht="15" customHeight="1">
      <c r="A162"/>
      <c r="B162"/>
      <c r="C162"/>
      <c r="D162"/>
      <c r="E162"/>
      <c r="F162"/>
      <c r="G162"/>
      <c r="H162"/>
    </row>
    <row r="163" spans="1:8" ht="15" customHeight="1">
      <c r="A163"/>
      <c r="B163"/>
      <c r="C163"/>
      <c r="D163"/>
      <c r="E163"/>
      <c r="F163"/>
      <c r="G163"/>
      <c r="H163"/>
    </row>
    <row r="164" spans="1:8" ht="15" customHeight="1">
      <c r="A164"/>
      <c r="B164"/>
      <c r="C164"/>
      <c r="D164"/>
      <c r="E164"/>
      <c r="F164"/>
      <c r="G164"/>
      <c r="H164"/>
    </row>
    <row r="165" spans="1:8" ht="15" customHeight="1">
      <c r="A165"/>
      <c r="B165"/>
      <c r="C165"/>
      <c r="D165"/>
      <c r="E165"/>
      <c r="F165"/>
      <c r="G165"/>
      <c r="H165"/>
    </row>
    <row r="166" spans="1:8" ht="15" customHeight="1">
      <c r="A166"/>
      <c r="B166"/>
      <c r="C166"/>
      <c r="D166"/>
      <c r="E166"/>
      <c r="F166"/>
      <c r="G166"/>
      <c r="H166"/>
    </row>
    <row r="167" spans="1:8" ht="15" customHeight="1">
      <c r="A167"/>
      <c r="B167"/>
      <c r="C167"/>
      <c r="D167"/>
      <c r="E167"/>
      <c r="F167"/>
      <c r="G167"/>
      <c r="H167"/>
    </row>
    <row r="168" spans="1:8" ht="15" customHeight="1">
      <c r="A168"/>
      <c r="B168"/>
      <c r="C168"/>
      <c r="D168"/>
      <c r="E168"/>
      <c r="F168"/>
      <c r="G168"/>
      <c r="H168"/>
    </row>
    <row r="169" spans="1:8" ht="15" customHeight="1">
      <c r="A169"/>
      <c r="B169"/>
      <c r="C169"/>
      <c r="D169"/>
      <c r="E169"/>
      <c r="F169"/>
      <c r="G169"/>
      <c r="H169"/>
    </row>
    <row r="170" spans="1:8" ht="15" customHeight="1">
      <c r="A170"/>
      <c r="B170"/>
      <c r="C170"/>
      <c r="D170"/>
      <c r="E170"/>
      <c r="F170"/>
      <c r="G170"/>
      <c r="H170"/>
    </row>
    <row r="171" spans="1:8" ht="15" customHeight="1">
      <c r="A171"/>
      <c r="B171"/>
      <c r="C171"/>
      <c r="D171"/>
      <c r="E171"/>
      <c r="F171"/>
      <c r="G171"/>
      <c r="H171"/>
    </row>
    <row r="172" spans="1:8" ht="15" customHeight="1">
      <c r="A172"/>
      <c r="B172"/>
      <c r="C172"/>
      <c r="D172"/>
      <c r="E172"/>
      <c r="F172"/>
      <c r="G172"/>
      <c r="H172"/>
    </row>
    <row r="173" spans="1:8" ht="15" customHeight="1">
      <c r="A173"/>
      <c r="B173"/>
      <c r="C173"/>
      <c r="D173"/>
      <c r="E173"/>
      <c r="F173"/>
      <c r="G173"/>
      <c r="H173"/>
    </row>
    <row r="174" spans="1:8" ht="15" customHeight="1">
      <c r="A174"/>
      <c r="B174"/>
      <c r="C174"/>
      <c r="D174"/>
      <c r="E174"/>
      <c r="F174"/>
      <c r="G174"/>
      <c r="H174"/>
    </row>
    <row r="175" spans="1:8" ht="15" customHeight="1">
      <c r="A175"/>
      <c r="B175"/>
      <c r="C175"/>
      <c r="D175"/>
      <c r="E175"/>
      <c r="F175"/>
      <c r="G175"/>
      <c r="H175"/>
    </row>
    <row r="176" spans="1:8" ht="15" customHeight="1">
      <c r="A176"/>
      <c r="B176"/>
      <c r="C176"/>
      <c r="D176"/>
      <c r="E176"/>
      <c r="F176"/>
      <c r="G176"/>
      <c r="H176"/>
    </row>
    <row r="177" spans="1:8" ht="15" customHeight="1">
      <c r="A177"/>
      <c r="B177"/>
      <c r="C177"/>
      <c r="D177"/>
      <c r="E177"/>
      <c r="F177"/>
      <c r="G177"/>
      <c r="H177"/>
    </row>
    <row r="178" spans="1:8" ht="15" customHeight="1">
      <c r="A178"/>
      <c r="B178"/>
      <c r="C178"/>
      <c r="D178"/>
      <c r="E178"/>
      <c r="F178"/>
      <c r="G178"/>
      <c r="H178"/>
    </row>
    <row r="179" spans="1:8" ht="15" customHeight="1">
      <c r="A179"/>
      <c r="B179"/>
      <c r="C179"/>
      <c r="D179"/>
      <c r="E179"/>
      <c r="F179"/>
      <c r="G179"/>
      <c r="H179"/>
    </row>
    <row r="180" spans="1:8" ht="15" customHeight="1">
      <c r="A180"/>
      <c r="B180"/>
      <c r="C180"/>
      <c r="D180"/>
      <c r="E180"/>
      <c r="F180"/>
      <c r="G180"/>
      <c r="H180"/>
    </row>
    <row r="181" spans="1:8" ht="15" customHeight="1">
      <c r="A181"/>
      <c r="B181"/>
      <c r="C181"/>
      <c r="D181"/>
      <c r="E181"/>
      <c r="F181"/>
      <c r="G181"/>
      <c r="H181"/>
    </row>
    <row r="182" spans="1:8" ht="15" customHeight="1">
      <c r="A182"/>
      <c r="B182"/>
      <c r="C182"/>
      <c r="D182"/>
      <c r="E182"/>
      <c r="F182"/>
      <c r="G182"/>
      <c r="H182"/>
    </row>
    <row r="183" spans="1:8" ht="15" customHeight="1">
      <c r="A183"/>
      <c r="B183"/>
      <c r="C183"/>
      <c r="D183"/>
      <c r="E183"/>
      <c r="F183"/>
      <c r="G183"/>
      <c r="H183"/>
    </row>
    <row r="184" spans="1:8" ht="15" customHeight="1">
      <c r="A184"/>
      <c r="B184"/>
      <c r="C184"/>
      <c r="D184"/>
      <c r="E184"/>
      <c r="F184"/>
      <c r="G184"/>
      <c r="H184"/>
    </row>
    <row r="185" spans="1:8" ht="15" customHeight="1">
      <c r="A185"/>
      <c r="B185"/>
      <c r="C185"/>
      <c r="D185"/>
      <c r="E185"/>
      <c r="F185"/>
      <c r="G185"/>
      <c r="H185"/>
    </row>
    <row r="186" spans="1:8" ht="15" customHeight="1">
      <c r="A186"/>
      <c r="B186"/>
      <c r="C186"/>
      <c r="D186"/>
      <c r="E186"/>
      <c r="F186"/>
      <c r="G186"/>
      <c r="H186"/>
    </row>
    <row r="187" spans="1:8" ht="15" customHeight="1">
      <c r="A187"/>
      <c r="B187"/>
      <c r="C187"/>
      <c r="D187"/>
      <c r="E187"/>
      <c r="F187"/>
      <c r="G187"/>
      <c r="H187"/>
    </row>
    <row r="188" spans="1:8" ht="15" customHeight="1">
      <c r="A188"/>
      <c r="B188"/>
      <c r="C188"/>
      <c r="D188"/>
      <c r="E188"/>
      <c r="F188"/>
      <c r="G188"/>
      <c r="H188"/>
    </row>
    <row r="189" spans="1:8" ht="15" customHeight="1">
      <c r="A189"/>
      <c r="B189"/>
      <c r="C189"/>
      <c r="D189"/>
      <c r="E189"/>
      <c r="F189"/>
      <c r="G189"/>
      <c r="H189"/>
    </row>
    <row r="190" spans="1:8" ht="15" customHeight="1">
      <c r="A190"/>
      <c r="B190"/>
      <c r="C190"/>
      <c r="D190"/>
      <c r="E190"/>
      <c r="F190"/>
      <c r="G190"/>
      <c r="H190"/>
    </row>
    <row r="191" spans="1:8" ht="15" customHeight="1">
      <c r="A191"/>
      <c r="B191"/>
      <c r="C191"/>
      <c r="D191"/>
      <c r="E191"/>
      <c r="F191"/>
      <c r="G191"/>
      <c r="H191"/>
    </row>
    <row r="192" spans="1:8" ht="15" customHeight="1">
      <c r="A192"/>
      <c r="B192"/>
      <c r="C192"/>
      <c r="D192"/>
      <c r="E192"/>
      <c r="F192"/>
      <c r="G192"/>
      <c r="H192"/>
    </row>
    <row r="193" spans="1:8" ht="15" customHeight="1">
      <c r="A193"/>
      <c r="B193"/>
      <c r="C193"/>
      <c r="D193"/>
      <c r="E193"/>
      <c r="F193"/>
      <c r="G193"/>
      <c r="H193"/>
    </row>
    <row r="194" spans="1:8" ht="15" customHeight="1">
      <c r="A194"/>
      <c r="B194"/>
      <c r="C194"/>
      <c r="D194"/>
      <c r="E194"/>
      <c r="F194"/>
      <c r="G194"/>
      <c r="H194"/>
    </row>
    <row r="195" spans="1:8" ht="15" customHeight="1">
      <c r="A195"/>
      <c r="B195"/>
      <c r="C195"/>
      <c r="D195"/>
      <c r="E195"/>
      <c r="F195"/>
      <c r="G195"/>
      <c r="H195"/>
    </row>
    <row r="196" spans="1:8" ht="15" customHeight="1">
      <c r="A196"/>
      <c r="B196"/>
      <c r="C196"/>
      <c r="D196"/>
      <c r="E196"/>
      <c r="F196"/>
      <c r="G196"/>
      <c r="H196"/>
    </row>
    <row r="197" spans="1:8" ht="15" customHeight="1">
      <c r="A197"/>
      <c r="B197"/>
      <c r="C197"/>
      <c r="D197"/>
      <c r="E197"/>
      <c r="F197"/>
      <c r="G197"/>
      <c r="H197"/>
    </row>
    <row r="198" spans="1:8" ht="15" customHeight="1">
      <c r="A198"/>
      <c r="B198"/>
      <c r="C198"/>
      <c r="D198"/>
      <c r="E198"/>
      <c r="F198"/>
      <c r="G198"/>
      <c r="H198"/>
    </row>
    <row r="199" spans="1:8" ht="15" customHeight="1">
      <c r="A199"/>
      <c r="B199"/>
      <c r="C199"/>
      <c r="D199"/>
      <c r="E199"/>
      <c r="F199"/>
      <c r="G199"/>
      <c r="H199"/>
    </row>
    <row r="200" spans="1:8" ht="15" customHeight="1">
      <c r="A200"/>
      <c r="B200"/>
      <c r="C200"/>
      <c r="D200"/>
      <c r="E200"/>
      <c r="F200"/>
      <c r="G200"/>
      <c r="H200"/>
    </row>
    <row r="201" spans="1:8" ht="15" customHeight="1">
      <c r="A201"/>
      <c r="B201"/>
      <c r="C201"/>
      <c r="D201"/>
      <c r="E201"/>
      <c r="F201"/>
      <c r="G201"/>
      <c r="H201"/>
    </row>
    <row r="202" spans="1:8" ht="15" customHeight="1">
      <c r="A202"/>
      <c r="B202"/>
      <c r="C202"/>
      <c r="D202"/>
      <c r="E202"/>
      <c r="F202"/>
      <c r="G202"/>
      <c r="H202"/>
    </row>
    <row r="203" spans="1:8" ht="15" customHeight="1">
      <c r="A203"/>
      <c r="B203"/>
      <c r="C203"/>
      <c r="D203"/>
      <c r="E203"/>
      <c r="F203"/>
      <c r="G203"/>
      <c r="H203"/>
    </row>
    <row r="204" spans="1:8" ht="15" customHeight="1">
      <c r="A204"/>
      <c r="B204"/>
      <c r="C204"/>
      <c r="D204"/>
      <c r="E204"/>
      <c r="F204"/>
      <c r="G204"/>
      <c r="H204"/>
    </row>
    <row r="205" spans="1:8" ht="15" customHeight="1">
      <c r="A205"/>
      <c r="B205"/>
      <c r="C205"/>
      <c r="D205"/>
      <c r="E205"/>
      <c r="F205"/>
      <c r="G205"/>
      <c r="H205"/>
    </row>
    <row r="206" spans="1:8" ht="15" customHeight="1">
      <c r="A206"/>
      <c r="B206"/>
      <c r="C206"/>
      <c r="D206"/>
      <c r="E206"/>
      <c r="F206"/>
      <c r="G206"/>
      <c r="H206"/>
    </row>
    <row r="207" spans="1:8" ht="15" customHeight="1">
      <c r="A207"/>
      <c r="B207"/>
      <c r="C207"/>
      <c r="D207"/>
      <c r="E207"/>
      <c r="F207"/>
      <c r="G207"/>
      <c r="H207"/>
    </row>
    <row r="208" spans="1:8" ht="15" customHeight="1">
      <c r="A208"/>
      <c r="B208"/>
      <c r="C208"/>
      <c r="D208"/>
      <c r="E208"/>
      <c r="F208"/>
      <c r="G208"/>
      <c r="H208"/>
    </row>
    <row r="209" spans="1:8" ht="15" customHeight="1">
      <c r="A209"/>
      <c r="B209"/>
      <c r="C209"/>
      <c r="D209"/>
      <c r="E209"/>
      <c r="F209"/>
      <c r="G209"/>
      <c r="H209"/>
    </row>
    <row r="210" spans="1:8" ht="15" customHeight="1">
      <c r="A210"/>
      <c r="B210"/>
      <c r="C210"/>
      <c r="D210"/>
      <c r="E210"/>
      <c r="F210"/>
      <c r="G210"/>
      <c r="H210"/>
    </row>
    <row r="211" spans="1:8" ht="15" customHeight="1">
      <c r="A211"/>
      <c r="B211"/>
      <c r="C211"/>
      <c r="D211"/>
      <c r="E211"/>
      <c r="F211"/>
      <c r="G211"/>
      <c r="H211"/>
    </row>
    <row r="212" spans="1:8" ht="15" customHeight="1">
      <c r="A212"/>
      <c r="B212"/>
      <c r="C212"/>
      <c r="D212"/>
      <c r="E212"/>
      <c r="F212"/>
      <c r="G212"/>
      <c r="H212"/>
    </row>
    <row r="213" spans="1:8" ht="15" customHeight="1">
      <c r="A213"/>
      <c r="B213"/>
      <c r="C213"/>
      <c r="D213"/>
      <c r="E213"/>
      <c r="F213"/>
      <c r="G213"/>
      <c r="H213"/>
    </row>
    <row r="214" spans="1:8" ht="15" customHeight="1">
      <c r="A214"/>
      <c r="B214"/>
      <c r="C214"/>
      <c r="D214"/>
      <c r="E214"/>
      <c r="F214"/>
      <c r="G214"/>
      <c r="H214"/>
    </row>
    <row r="215" spans="1:8" ht="15" customHeight="1">
      <c r="A215"/>
      <c r="B215"/>
      <c r="C215"/>
      <c r="D215"/>
      <c r="E215"/>
      <c r="F215"/>
      <c r="G215"/>
      <c r="H215"/>
    </row>
    <row r="216" spans="1:8" ht="15" customHeight="1">
      <c r="A216"/>
      <c r="B216"/>
      <c r="C216"/>
      <c r="D216"/>
      <c r="E216"/>
      <c r="F216"/>
      <c r="G216"/>
      <c r="H216"/>
    </row>
    <row r="217" spans="1:8" ht="15" customHeight="1">
      <c r="A217"/>
      <c r="B217"/>
      <c r="C217"/>
      <c r="D217"/>
      <c r="E217"/>
      <c r="F217"/>
      <c r="G217"/>
      <c r="H217"/>
    </row>
    <row r="218" spans="1:8" ht="15" customHeight="1">
      <c r="A218"/>
      <c r="B218"/>
      <c r="C218"/>
      <c r="D218"/>
      <c r="E218"/>
      <c r="F218"/>
      <c r="G218"/>
      <c r="H218"/>
    </row>
    <row r="219" spans="1:8" ht="15" customHeight="1">
      <c r="A219"/>
      <c r="B219"/>
      <c r="C219"/>
      <c r="D219"/>
      <c r="E219"/>
      <c r="F219"/>
      <c r="G219"/>
      <c r="H219"/>
    </row>
    <row r="220" spans="1:8" ht="15" customHeight="1">
      <c r="A220"/>
      <c r="B220"/>
      <c r="C220"/>
      <c r="D220"/>
      <c r="E220"/>
      <c r="F220"/>
      <c r="G220"/>
      <c r="H220"/>
    </row>
    <row r="221" spans="1:8" ht="15" customHeight="1">
      <c r="A221"/>
      <c r="B221"/>
      <c r="C221"/>
      <c r="D221"/>
      <c r="E221"/>
      <c r="F221"/>
      <c r="G221"/>
      <c r="H221"/>
    </row>
    <row r="222" spans="1:8" ht="15" customHeight="1">
      <c r="A222"/>
      <c r="B222"/>
      <c r="C222"/>
      <c r="D222"/>
      <c r="E222"/>
      <c r="F222"/>
      <c r="G222"/>
      <c r="H222"/>
    </row>
    <row r="223" spans="1:8" ht="15" customHeight="1">
      <c r="A223"/>
      <c r="B223"/>
      <c r="C223"/>
      <c r="D223"/>
      <c r="E223"/>
      <c r="F223"/>
      <c r="G223"/>
      <c r="H223"/>
    </row>
    <row r="224" spans="1:8" ht="15" customHeight="1">
      <c r="A224"/>
      <c r="B224"/>
      <c r="C224"/>
      <c r="D224"/>
      <c r="E224"/>
      <c r="F224"/>
      <c r="G224"/>
      <c r="H224"/>
    </row>
    <row r="225" spans="1:8" ht="15" customHeight="1">
      <c r="A225"/>
      <c r="B225"/>
      <c r="C225"/>
      <c r="D225"/>
      <c r="E225"/>
      <c r="F225"/>
      <c r="G225"/>
      <c r="H225"/>
    </row>
    <row r="226" spans="1:8" ht="15" customHeight="1">
      <c r="A226"/>
      <c r="B226"/>
      <c r="C226"/>
      <c r="D226"/>
      <c r="E226"/>
      <c r="F226"/>
      <c r="G226"/>
      <c r="H226"/>
    </row>
    <row r="227" spans="1:8" ht="15" customHeight="1">
      <c r="A227"/>
      <c r="B227"/>
      <c r="C227"/>
      <c r="D227"/>
      <c r="E227"/>
      <c r="F227"/>
      <c r="G227"/>
      <c r="H227"/>
    </row>
    <row r="228" spans="1:8" ht="15" customHeight="1">
      <c r="A228"/>
      <c r="B228"/>
      <c r="C228"/>
      <c r="D228"/>
      <c r="E228"/>
      <c r="F228"/>
      <c r="G228"/>
      <c r="H228"/>
    </row>
    <row r="229" spans="1:8" ht="15" customHeight="1">
      <c r="A229"/>
      <c r="B229"/>
      <c r="C229"/>
      <c r="D229"/>
      <c r="E229"/>
      <c r="F229"/>
      <c r="G229"/>
      <c r="H229"/>
    </row>
    <row r="230" spans="1:8" ht="15" customHeight="1">
      <c r="A230"/>
      <c r="B230"/>
      <c r="C230"/>
      <c r="D230"/>
      <c r="E230"/>
      <c r="F230"/>
      <c r="G230"/>
      <c r="H230"/>
    </row>
    <row r="231" spans="1:8" ht="15" customHeight="1">
      <c r="A231"/>
      <c r="B231"/>
      <c r="C231"/>
      <c r="D231"/>
      <c r="E231"/>
      <c r="F231"/>
      <c r="G231"/>
      <c r="H231"/>
    </row>
    <row r="232" spans="1:8" ht="15" customHeight="1">
      <c r="A232"/>
      <c r="B232"/>
      <c r="C232"/>
      <c r="D232"/>
      <c r="E232"/>
      <c r="F232"/>
      <c r="G232"/>
      <c r="H232"/>
    </row>
    <row r="233" spans="1:8" ht="15" customHeight="1">
      <c r="A233"/>
      <c r="B233"/>
      <c r="C233"/>
      <c r="D233"/>
      <c r="E233"/>
      <c r="F233"/>
      <c r="G233"/>
      <c r="H233"/>
    </row>
    <row r="234" spans="1:8" ht="15" customHeight="1">
      <c r="A234"/>
      <c r="B234"/>
      <c r="C234"/>
      <c r="D234"/>
      <c r="E234"/>
      <c r="F234"/>
      <c r="G234"/>
      <c r="H234"/>
    </row>
    <row r="235" spans="1:8" ht="15" customHeight="1">
      <c r="A235"/>
      <c r="B235"/>
      <c r="C235"/>
      <c r="D235"/>
      <c r="E235"/>
      <c r="F235"/>
      <c r="G235"/>
      <c r="H235"/>
    </row>
    <row r="236" spans="1:8" ht="15" customHeight="1">
      <c r="A236"/>
      <c r="B236"/>
      <c r="C236"/>
      <c r="D236"/>
      <c r="E236"/>
      <c r="F236"/>
      <c r="G236"/>
      <c r="H236"/>
    </row>
    <row r="237" spans="1:8" ht="15" customHeight="1">
      <c r="A237"/>
      <c r="B237"/>
      <c r="C237"/>
      <c r="D237"/>
      <c r="E237"/>
      <c r="F237"/>
      <c r="G237"/>
      <c r="H237"/>
    </row>
    <row r="238" spans="1:8" ht="15" customHeight="1">
      <c r="A238"/>
      <c r="B238"/>
      <c r="C238"/>
      <c r="D238"/>
      <c r="E238"/>
      <c r="F238"/>
      <c r="G238"/>
      <c r="H238"/>
    </row>
    <row r="239" spans="1:8" ht="15" customHeight="1">
      <c r="A239"/>
      <c r="B239"/>
      <c r="C239"/>
      <c r="D239"/>
      <c r="E239"/>
      <c r="F239"/>
      <c r="G239"/>
      <c r="H239"/>
    </row>
    <row r="240" spans="1:8" ht="15" customHeight="1">
      <c r="A240"/>
      <c r="B240"/>
      <c r="C240"/>
      <c r="D240"/>
      <c r="E240"/>
      <c r="F240"/>
      <c r="G240"/>
      <c r="H240"/>
    </row>
    <row r="241" spans="1:8" ht="15" customHeight="1">
      <c r="A241"/>
      <c r="B241"/>
      <c r="C241"/>
      <c r="D241"/>
      <c r="E241"/>
      <c r="F241"/>
      <c r="G241"/>
      <c r="H241"/>
    </row>
    <row r="242" spans="1:8" ht="15" customHeight="1">
      <c r="A242"/>
      <c r="B242"/>
      <c r="C242"/>
      <c r="D242"/>
      <c r="E242"/>
      <c r="F242"/>
      <c r="G242"/>
      <c r="H242"/>
    </row>
    <row r="243" spans="1:8" ht="15" customHeight="1">
      <c r="A243"/>
      <c r="B243"/>
      <c r="C243"/>
      <c r="D243"/>
      <c r="E243"/>
      <c r="F243"/>
      <c r="G243"/>
      <c r="H243"/>
    </row>
    <row r="244" spans="1:8" ht="15" customHeight="1">
      <c r="A244"/>
      <c r="B244"/>
      <c r="C244"/>
      <c r="D244"/>
      <c r="E244"/>
      <c r="F244"/>
      <c r="G244"/>
      <c r="H244"/>
    </row>
    <row r="245" spans="1:8" ht="15" customHeight="1">
      <c r="A245"/>
      <c r="B245"/>
      <c r="C245"/>
      <c r="D245"/>
      <c r="E245"/>
      <c r="F245"/>
      <c r="G245"/>
      <c r="H245"/>
    </row>
    <row r="246" spans="1:8" ht="15" customHeight="1">
      <c r="A246"/>
      <c r="B246"/>
      <c r="C246"/>
      <c r="D246"/>
      <c r="E246"/>
      <c r="F246"/>
      <c r="G246"/>
      <c r="H246"/>
    </row>
    <row r="247" spans="1:8" ht="15" customHeight="1">
      <c r="A247"/>
      <c r="B247"/>
      <c r="C247"/>
      <c r="D247"/>
      <c r="E247"/>
      <c r="F247"/>
      <c r="G247"/>
      <c r="H247"/>
    </row>
    <row r="248" spans="1:8" ht="15" customHeight="1">
      <c r="A248"/>
      <c r="B248"/>
      <c r="C248"/>
      <c r="D248"/>
      <c r="E248"/>
      <c r="F248"/>
      <c r="G248"/>
      <c r="H248"/>
    </row>
    <row r="249" spans="1:8" ht="15" customHeight="1">
      <c r="A249"/>
      <c r="B249"/>
      <c r="C249"/>
      <c r="D249"/>
      <c r="E249"/>
      <c r="F249"/>
      <c r="G249"/>
      <c r="H249"/>
    </row>
    <row r="250" spans="1:8" ht="15" customHeight="1">
      <c r="A250"/>
      <c r="B250"/>
      <c r="C250"/>
      <c r="D250"/>
      <c r="E250"/>
      <c r="F250"/>
      <c r="G250"/>
      <c r="H250"/>
    </row>
    <row r="251" spans="1:8" ht="15" customHeight="1">
      <c r="A251"/>
      <c r="B251"/>
      <c r="C251"/>
      <c r="D251"/>
      <c r="E251"/>
      <c r="F251"/>
      <c r="G251"/>
      <c r="H251"/>
    </row>
    <row r="252" spans="1:8" ht="15" customHeight="1">
      <c r="A252"/>
      <c r="B252"/>
      <c r="C252"/>
      <c r="D252"/>
      <c r="E252"/>
      <c r="F252"/>
      <c r="G252"/>
      <c r="H252"/>
    </row>
    <row r="253" spans="1:8" ht="15" customHeight="1">
      <c r="A253"/>
      <c r="B253"/>
      <c r="C253"/>
      <c r="D253"/>
      <c r="E253"/>
      <c r="F253"/>
      <c r="G253"/>
      <c r="H253"/>
    </row>
    <row r="254" spans="1:8" ht="15" customHeight="1">
      <c r="A254"/>
      <c r="B254"/>
      <c r="C254"/>
      <c r="D254"/>
      <c r="E254"/>
      <c r="F254"/>
      <c r="G254"/>
      <c r="H254"/>
    </row>
    <row r="255" spans="1:8" ht="15" customHeight="1">
      <c r="A255"/>
      <c r="B255"/>
      <c r="C255"/>
      <c r="D255"/>
      <c r="E255"/>
      <c r="F255"/>
      <c r="G255"/>
      <c r="H255"/>
    </row>
    <row r="256" spans="1:8" ht="15" customHeight="1">
      <c r="A256"/>
      <c r="B256"/>
      <c r="C256"/>
      <c r="D256"/>
      <c r="E256"/>
      <c r="F256"/>
      <c r="G256"/>
      <c r="H256"/>
    </row>
    <row r="257" spans="1:8" ht="15" customHeight="1">
      <c r="A257"/>
      <c r="B257"/>
      <c r="C257"/>
      <c r="D257"/>
      <c r="E257"/>
      <c r="F257"/>
      <c r="G257"/>
      <c r="H257"/>
    </row>
    <row r="258" spans="1:8" ht="15" customHeight="1">
      <c r="A258"/>
      <c r="B258"/>
      <c r="C258"/>
      <c r="D258"/>
      <c r="E258"/>
      <c r="F258"/>
      <c r="G258"/>
      <c r="H258"/>
    </row>
    <row r="259" spans="1:8" ht="15" customHeight="1">
      <c r="A259"/>
      <c r="B259"/>
      <c r="C259"/>
      <c r="D259"/>
      <c r="E259"/>
      <c r="F259"/>
      <c r="G259"/>
      <c r="H259"/>
    </row>
    <row r="260" spans="1:8" ht="15" customHeight="1">
      <c r="A260"/>
      <c r="B260"/>
      <c r="C260"/>
      <c r="D260"/>
      <c r="E260"/>
      <c r="F260"/>
      <c r="G260"/>
      <c r="H260"/>
    </row>
    <row r="261" spans="1:8" ht="15" customHeight="1">
      <c r="A261"/>
      <c r="B261"/>
      <c r="C261"/>
      <c r="D261"/>
      <c r="E261"/>
      <c r="F261"/>
      <c r="G261"/>
      <c r="H261"/>
    </row>
    <row r="262" spans="1:8" ht="15" customHeight="1">
      <c r="A262"/>
      <c r="B262"/>
      <c r="C262"/>
      <c r="D262"/>
      <c r="E262"/>
      <c r="F262"/>
      <c r="G262"/>
      <c r="H262"/>
    </row>
    <row r="263" spans="1:8" ht="15" customHeight="1">
      <c r="A263"/>
      <c r="B263"/>
      <c r="C263"/>
      <c r="D263"/>
      <c r="E263"/>
      <c r="F263"/>
      <c r="G263"/>
      <c r="H263"/>
    </row>
    <row r="264" spans="1:8" ht="15" customHeight="1">
      <c r="A264"/>
      <c r="B264"/>
      <c r="C264"/>
      <c r="D264"/>
      <c r="E264"/>
      <c r="F264"/>
      <c r="G264"/>
      <c r="H264"/>
    </row>
    <row r="265" spans="1:8" ht="15" customHeight="1">
      <c r="A265"/>
      <c r="B265"/>
      <c r="C265"/>
      <c r="D265"/>
      <c r="E265"/>
      <c r="F265"/>
      <c r="G265"/>
      <c r="H265"/>
    </row>
    <row r="266" spans="1:8" ht="15" customHeight="1">
      <c r="A266"/>
      <c r="B266"/>
      <c r="C266"/>
      <c r="D266"/>
      <c r="E266"/>
      <c r="F266"/>
      <c r="G266"/>
      <c r="H266"/>
    </row>
    <row r="267" spans="1:8" ht="15" customHeight="1">
      <c r="A267"/>
      <c r="B267"/>
      <c r="C267"/>
      <c r="D267"/>
      <c r="E267"/>
      <c r="F267"/>
      <c r="G267"/>
      <c r="H267"/>
    </row>
    <row r="268" spans="1:8" ht="15" customHeight="1">
      <c r="A268"/>
      <c r="B268"/>
      <c r="C268"/>
      <c r="D268"/>
      <c r="E268"/>
      <c r="F268"/>
      <c r="G268"/>
      <c r="H268"/>
    </row>
    <row r="269" spans="1:8" ht="15" customHeight="1">
      <c r="A269"/>
      <c r="B269"/>
      <c r="C269"/>
      <c r="D269"/>
      <c r="E269"/>
      <c r="F269"/>
      <c r="G269"/>
      <c r="H269"/>
    </row>
    <row r="270" spans="1:8" ht="15" customHeight="1">
      <c r="A270"/>
      <c r="B270"/>
      <c r="C270"/>
      <c r="D270"/>
      <c r="E270"/>
      <c r="F270"/>
      <c r="G270"/>
      <c r="H270"/>
    </row>
    <row r="271" spans="1:8" ht="15" customHeight="1">
      <c r="A271"/>
      <c r="B271"/>
      <c r="C271"/>
      <c r="D271"/>
      <c r="E271"/>
      <c r="F271"/>
      <c r="G271"/>
      <c r="H271"/>
    </row>
    <row r="272" spans="1:8" ht="15" customHeight="1">
      <c r="A272"/>
      <c r="B272"/>
      <c r="C272"/>
      <c r="D272"/>
      <c r="E272"/>
      <c r="F272"/>
      <c r="G272"/>
      <c r="H272"/>
    </row>
    <row r="273" spans="1:8" ht="15" customHeight="1">
      <c r="A273"/>
      <c r="B273"/>
      <c r="C273"/>
      <c r="D273"/>
      <c r="E273"/>
      <c r="F273"/>
      <c r="G273"/>
      <c r="H273"/>
    </row>
    <row r="274" spans="1:8" ht="15" customHeight="1">
      <c r="A274"/>
      <c r="B274"/>
      <c r="C274"/>
      <c r="D274"/>
      <c r="E274"/>
      <c r="F274"/>
      <c r="G274"/>
      <c r="H274"/>
    </row>
    <row r="275" spans="1:8" ht="15" customHeight="1">
      <c r="A275"/>
      <c r="B275"/>
      <c r="C275"/>
      <c r="D275"/>
      <c r="E275"/>
      <c r="F275"/>
      <c r="G275"/>
      <c r="H275"/>
    </row>
    <row r="276" spans="1:8" ht="15" customHeight="1">
      <c r="A276"/>
      <c r="B276"/>
      <c r="C276"/>
      <c r="D276"/>
      <c r="E276"/>
      <c r="F276"/>
      <c r="G276"/>
      <c r="H276"/>
    </row>
    <row r="277" spans="1:8" ht="15" customHeight="1">
      <c r="A277"/>
      <c r="B277"/>
      <c r="C277"/>
      <c r="D277"/>
      <c r="E277"/>
      <c r="F277"/>
      <c r="G277"/>
      <c r="H277"/>
    </row>
    <row r="278" spans="1:8" ht="15" customHeight="1">
      <c r="A278"/>
      <c r="B278"/>
      <c r="C278"/>
      <c r="D278"/>
      <c r="E278"/>
      <c r="F278"/>
      <c r="G278"/>
      <c r="H278"/>
    </row>
    <row r="279" spans="1:8" ht="15" customHeight="1">
      <c r="A279"/>
      <c r="B279"/>
      <c r="C279"/>
      <c r="D279"/>
      <c r="E279"/>
      <c r="F279"/>
      <c r="G279"/>
      <c r="H279"/>
    </row>
    <row r="280" spans="1:8" ht="15" customHeight="1">
      <c r="A280"/>
      <c r="B280"/>
      <c r="C280"/>
      <c r="D280"/>
      <c r="E280"/>
      <c r="F280"/>
      <c r="G280"/>
      <c r="H280"/>
    </row>
    <row r="281" spans="1:8" ht="15" customHeight="1">
      <c r="A281"/>
      <c r="B281"/>
      <c r="C281"/>
      <c r="D281"/>
      <c r="E281"/>
      <c r="F281"/>
      <c r="G281"/>
      <c r="H281"/>
    </row>
    <row r="282" spans="1:8" ht="15" customHeight="1">
      <c r="A282"/>
      <c r="B282"/>
      <c r="C282"/>
      <c r="D282"/>
      <c r="E282"/>
      <c r="F282"/>
      <c r="G282"/>
      <c r="H282"/>
    </row>
    <row r="283" spans="1:8" ht="15" customHeight="1">
      <c r="A283"/>
      <c r="B283"/>
      <c r="C283"/>
      <c r="D283"/>
      <c r="E283"/>
      <c r="F283"/>
      <c r="G283"/>
      <c r="H283"/>
    </row>
    <row r="284" spans="1:8" ht="15" customHeight="1">
      <c r="A284"/>
      <c r="B284"/>
      <c r="C284"/>
      <c r="D284"/>
      <c r="E284"/>
      <c r="F284"/>
      <c r="G284"/>
      <c r="H284"/>
    </row>
    <row r="285" spans="1:8" ht="15" customHeight="1">
      <c r="A285"/>
      <c r="B285"/>
      <c r="C285"/>
      <c r="D285"/>
      <c r="E285"/>
      <c r="F285"/>
      <c r="G285"/>
      <c r="H285"/>
    </row>
    <row r="286" spans="1:8" ht="15" customHeight="1">
      <c r="A286"/>
      <c r="B286"/>
      <c r="C286"/>
      <c r="D286"/>
      <c r="E286"/>
      <c r="F286"/>
      <c r="G286"/>
      <c r="H286"/>
    </row>
    <row r="287" spans="1:8" ht="15" customHeight="1">
      <c r="A287"/>
      <c r="B287"/>
      <c r="C287"/>
      <c r="D287"/>
      <c r="E287"/>
      <c r="F287"/>
      <c r="G287"/>
      <c r="H287"/>
    </row>
    <row r="288" spans="1:8" ht="15" customHeight="1">
      <c r="A288"/>
      <c r="B288"/>
      <c r="C288"/>
      <c r="D288"/>
      <c r="E288"/>
      <c r="F288"/>
      <c r="G288"/>
      <c r="H288"/>
    </row>
    <row r="289" spans="1:8" ht="15" customHeight="1">
      <c r="A289"/>
      <c r="B289"/>
      <c r="C289"/>
      <c r="D289"/>
      <c r="E289"/>
      <c r="F289"/>
      <c r="G289"/>
      <c r="H289"/>
    </row>
    <row r="290" spans="1:8" ht="15" customHeight="1">
      <c r="A290"/>
      <c r="B290"/>
      <c r="C290"/>
      <c r="D290"/>
      <c r="E290"/>
      <c r="F290"/>
      <c r="G290"/>
      <c r="H290"/>
    </row>
    <row r="291" spans="1:8" ht="15" customHeight="1">
      <c r="A291"/>
      <c r="B291"/>
      <c r="C291"/>
      <c r="D291"/>
      <c r="E291"/>
      <c r="F291"/>
      <c r="G291"/>
      <c r="H291"/>
    </row>
    <row r="292" spans="1:8" ht="15" customHeight="1">
      <c r="A292"/>
      <c r="B292"/>
      <c r="C292"/>
      <c r="D292"/>
      <c r="E292"/>
      <c r="F292"/>
      <c r="G292"/>
      <c r="H292"/>
    </row>
    <row r="293" spans="1:8" ht="15" customHeight="1">
      <c r="A293"/>
      <c r="B293"/>
      <c r="C293"/>
      <c r="D293"/>
      <c r="E293"/>
      <c r="F293"/>
      <c r="G293"/>
      <c r="H293"/>
    </row>
    <row r="294" spans="1:8" ht="15" customHeight="1">
      <c r="A294"/>
      <c r="B294"/>
      <c r="C294"/>
      <c r="D294"/>
      <c r="E294"/>
      <c r="F294"/>
      <c r="G294"/>
      <c r="H294"/>
    </row>
    <row r="295" spans="1:8" ht="15" customHeight="1">
      <c r="A295"/>
      <c r="B295"/>
      <c r="C295"/>
      <c r="D295"/>
      <c r="E295"/>
      <c r="F295"/>
      <c r="G295"/>
      <c r="H295"/>
    </row>
    <row r="296" spans="1:8" ht="15" customHeight="1">
      <c r="A296"/>
      <c r="B296"/>
      <c r="C296"/>
      <c r="D296"/>
      <c r="E296"/>
      <c r="F296"/>
      <c r="G296"/>
      <c r="H296"/>
    </row>
    <row r="297" spans="1:8" ht="15" customHeight="1">
      <c r="A297"/>
      <c r="B297"/>
      <c r="C297"/>
      <c r="D297"/>
      <c r="E297"/>
      <c r="F297"/>
      <c r="G297"/>
      <c r="H297"/>
    </row>
    <row r="298" spans="1:8" ht="15" customHeight="1">
      <c r="A298"/>
      <c r="B298"/>
      <c r="C298"/>
      <c r="D298"/>
      <c r="E298"/>
      <c r="F298"/>
      <c r="G298"/>
      <c r="H298"/>
    </row>
    <row r="299" spans="1:8" ht="15" customHeight="1">
      <c r="A299"/>
      <c r="B299"/>
      <c r="C299"/>
      <c r="D299"/>
      <c r="E299"/>
      <c r="F299"/>
      <c r="G299"/>
      <c r="H299"/>
    </row>
    <row r="300" spans="1:8" ht="15" customHeight="1">
      <c r="A300"/>
      <c r="B300"/>
      <c r="C300"/>
      <c r="D300"/>
      <c r="E300"/>
      <c r="F300"/>
      <c r="G300"/>
      <c r="H300"/>
    </row>
    <row r="301" spans="1:8" ht="15" customHeight="1">
      <c r="A301"/>
      <c r="B301"/>
      <c r="C301"/>
      <c r="D301"/>
      <c r="E301"/>
      <c r="F301"/>
      <c r="G301"/>
      <c r="H301"/>
    </row>
    <row r="302" spans="1:8" ht="15" customHeight="1">
      <c r="A302"/>
      <c r="B302"/>
      <c r="C302"/>
      <c r="D302"/>
      <c r="E302"/>
      <c r="F302"/>
      <c r="G302"/>
      <c r="H302"/>
    </row>
    <row r="303" spans="1:8" ht="15" customHeight="1">
      <c r="A303"/>
      <c r="B303"/>
      <c r="C303"/>
      <c r="D303"/>
      <c r="E303"/>
      <c r="F303"/>
      <c r="G303"/>
      <c r="H303"/>
    </row>
    <row r="304" spans="1:8" ht="15" customHeight="1">
      <c r="A304"/>
      <c r="B304"/>
      <c r="C304"/>
      <c r="D304"/>
      <c r="E304"/>
      <c r="F304"/>
      <c r="G304"/>
      <c r="H304"/>
    </row>
    <row r="305" spans="1:8" ht="15" customHeight="1">
      <c r="A305"/>
      <c r="B305"/>
      <c r="C305"/>
      <c r="D305"/>
      <c r="E305"/>
      <c r="F305"/>
      <c r="G305"/>
      <c r="H305"/>
    </row>
    <row r="306" spans="1:8" ht="15" customHeight="1">
      <c r="A306"/>
      <c r="B306"/>
      <c r="C306"/>
      <c r="D306"/>
      <c r="E306"/>
      <c r="F306"/>
      <c r="G306"/>
      <c r="H306"/>
    </row>
    <row r="307" spans="1:8" ht="15" customHeight="1">
      <c r="A307"/>
      <c r="B307"/>
      <c r="C307"/>
      <c r="D307"/>
      <c r="E307"/>
      <c r="F307"/>
      <c r="G307"/>
      <c r="H307"/>
    </row>
    <row r="308" spans="1:8" ht="15" customHeight="1">
      <c r="A308"/>
      <c r="B308"/>
      <c r="C308"/>
      <c r="D308"/>
      <c r="E308"/>
      <c r="F308"/>
      <c r="G308"/>
      <c r="H308"/>
    </row>
    <row r="309" spans="1:8" ht="15" customHeight="1">
      <c r="A309"/>
      <c r="B309"/>
      <c r="C309"/>
      <c r="D309"/>
      <c r="E309"/>
      <c r="F309"/>
      <c r="G309"/>
      <c r="H309"/>
    </row>
    <row r="310" spans="1:8" ht="15" customHeight="1">
      <c r="A310"/>
      <c r="B310"/>
      <c r="C310"/>
      <c r="D310"/>
      <c r="E310"/>
      <c r="F310"/>
      <c r="G310"/>
      <c r="H310"/>
    </row>
    <row r="311" spans="1:8" ht="15" customHeight="1">
      <c r="A311"/>
      <c r="B311"/>
      <c r="C311"/>
      <c r="D311"/>
      <c r="E311"/>
      <c r="F311"/>
      <c r="G311"/>
      <c r="H311"/>
    </row>
    <row r="312" spans="1:8" ht="15" customHeight="1">
      <c r="A312"/>
      <c r="B312"/>
      <c r="C312"/>
      <c r="D312"/>
      <c r="E312"/>
      <c r="F312"/>
      <c r="G312"/>
      <c r="H312"/>
    </row>
    <row r="313" spans="1:8" ht="15" customHeight="1">
      <c r="A313"/>
      <c r="B313"/>
      <c r="C313"/>
      <c r="D313"/>
      <c r="E313"/>
      <c r="F313"/>
      <c r="G313"/>
      <c r="H313"/>
    </row>
    <row r="314" spans="1:8" ht="15" customHeight="1">
      <c r="A314"/>
      <c r="B314"/>
      <c r="C314"/>
      <c r="D314"/>
      <c r="E314"/>
      <c r="F314"/>
      <c r="G314"/>
      <c r="H314"/>
    </row>
    <row r="315" spans="1:8" ht="15" customHeight="1">
      <c r="A315"/>
      <c r="B315"/>
      <c r="C315"/>
      <c r="D315"/>
      <c r="E315"/>
      <c r="F315"/>
      <c r="G315"/>
      <c r="H315"/>
    </row>
    <row r="316" spans="1:8" ht="15" customHeight="1">
      <c r="A316"/>
      <c r="B316"/>
      <c r="C316"/>
      <c r="D316"/>
      <c r="E316"/>
      <c r="F316"/>
      <c r="G316"/>
      <c r="H316"/>
    </row>
    <row r="317" spans="1:8" ht="15" customHeight="1">
      <c r="A317"/>
      <c r="B317"/>
      <c r="C317"/>
      <c r="D317"/>
      <c r="E317"/>
      <c r="F317"/>
      <c r="G317"/>
      <c r="H317"/>
    </row>
    <row r="318" spans="1:8" ht="15" customHeight="1">
      <c r="A318"/>
      <c r="B318"/>
      <c r="C318"/>
      <c r="D318"/>
      <c r="E318"/>
      <c r="F318"/>
      <c r="G318"/>
      <c r="H318"/>
    </row>
    <row r="319" spans="1:8" ht="15" customHeight="1">
      <c r="A319"/>
      <c r="B319"/>
      <c r="C319"/>
      <c r="D319"/>
      <c r="E319"/>
      <c r="F319"/>
      <c r="G319"/>
      <c r="H319"/>
    </row>
    <row r="320" spans="1:8" ht="15" customHeight="1">
      <c r="A320"/>
      <c r="B320"/>
      <c r="C320"/>
      <c r="D320"/>
      <c r="E320"/>
      <c r="F320"/>
      <c r="G320"/>
      <c r="H320"/>
    </row>
    <row r="321" spans="1:8" ht="15" customHeight="1">
      <c r="A321"/>
      <c r="B321"/>
      <c r="C321"/>
      <c r="D321"/>
      <c r="E321"/>
      <c r="F321"/>
      <c r="G321"/>
      <c r="H321"/>
    </row>
    <row r="322" spans="1:8" ht="15" customHeight="1">
      <c r="A322"/>
      <c r="B322"/>
      <c r="C322"/>
      <c r="D322"/>
      <c r="E322"/>
      <c r="F322"/>
      <c r="G322"/>
      <c r="H322"/>
    </row>
    <row r="323" spans="1:8" ht="15" customHeight="1">
      <c r="A323"/>
      <c r="B323"/>
      <c r="C323"/>
      <c r="D323"/>
      <c r="E323"/>
      <c r="F323"/>
      <c r="G323"/>
      <c r="H323"/>
    </row>
    <row r="324" spans="1:8" ht="15" customHeight="1">
      <c r="A324"/>
      <c r="B324"/>
      <c r="C324"/>
      <c r="D324"/>
      <c r="E324"/>
      <c r="F324"/>
      <c r="G324"/>
      <c r="H324"/>
    </row>
    <row r="325" spans="1:8" ht="15" customHeight="1">
      <c r="A325"/>
      <c r="B325"/>
      <c r="C325"/>
      <c r="D325"/>
      <c r="E325"/>
      <c r="F325"/>
      <c r="G325"/>
      <c r="H325"/>
    </row>
    <row r="326" spans="1:8" ht="15" customHeight="1">
      <c r="A326"/>
      <c r="B326"/>
      <c r="C326"/>
      <c r="D326"/>
      <c r="E326"/>
      <c r="F326"/>
      <c r="G326"/>
      <c r="H326"/>
    </row>
    <row r="327" spans="1:8" ht="15" customHeight="1">
      <c r="A327"/>
      <c r="B327"/>
      <c r="C327"/>
      <c r="D327"/>
      <c r="E327"/>
      <c r="F327"/>
      <c r="G327"/>
      <c r="H327"/>
    </row>
    <row r="328" spans="1:8" ht="15" customHeight="1">
      <c r="A328"/>
      <c r="B328"/>
      <c r="C328"/>
      <c r="D328"/>
      <c r="E328"/>
      <c r="F328"/>
      <c r="G328"/>
      <c r="H328"/>
    </row>
    <row r="329" spans="1:8" ht="15" customHeight="1">
      <c r="A329"/>
      <c r="B329"/>
      <c r="C329"/>
      <c r="D329"/>
      <c r="E329"/>
      <c r="F329"/>
      <c r="G329"/>
      <c r="H329"/>
    </row>
    <row r="330" spans="1:8" ht="15" customHeight="1">
      <c r="A330"/>
      <c r="B330"/>
      <c r="C330"/>
      <c r="D330"/>
      <c r="E330"/>
      <c r="F330"/>
      <c r="G330"/>
      <c r="H330"/>
    </row>
    <row r="331" spans="1:8" ht="15" customHeight="1">
      <c r="A331"/>
      <c r="B331"/>
      <c r="C331"/>
      <c r="D331"/>
      <c r="E331"/>
      <c r="F331"/>
      <c r="G331"/>
      <c r="H331"/>
    </row>
    <row r="332" spans="1:8" ht="15" customHeight="1">
      <c r="A332"/>
      <c r="B332"/>
      <c r="C332"/>
      <c r="D332"/>
      <c r="E332"/>
      <c r="F332"/>
      <c r="G332"/>
      <c r="H332"/>
    </row>
    <row r="333" spans="1:8" ht="15" customHeight="1">
      <c r="A333"/>
      <c r="B333"/>
      <c r="C333"/>
      <c r="D333"/>
      <c r="E333"/>
      <c r="F333"/>
      <c r="G333"/>
      <c r="H333"/>
    </row>
    <row r="334" spans="1:8" ht="15" customHeight="1">
      <c r="A334"/>
      <c r="B334"/>
      <c r="C334"/>
      <c r="D334"/>
      <c r="E334"/>
      <c r="F334"/>
      <c r="G334"/>
      <c r="H334"/>
    </row>
    <row r="335" spans="1:8" ht="15" customHeight="1">
      <c r="A335"/>
      <c r="B335"/>
      <c r="C335"/>
      <c r="D335"/>
      <c r="E335"/>
      <c r="F335"/>
      <c r="G335"/>
      <c r="H335"/>
    </row>
    <row r="336" spans="1:8" ht="15" customHeight="1">
      <c r="A336"/>
      <c r="B336"/>
      <c r="C336"/>
      <c r="D336"/>
      <c r="E336"/>
      <c r="F336"/>
      <c r="G336"/>
      <c r="H336"/>
    </row>
    <row r="337" spans="1:8" ht="15" customHeight="1">
      <c r="A337"/>
      <c r="B337"/>
      <c r="C337"/>
      <c r="D337"/>
      <c r="E337"/>
      <c r="F337"/>
      <c r="G337"/>
      <c r="H337"/>
    </row>
    <row r="338" spans="1:8" ht="15" customHeight="1">
      <c r="A338"/>
      <c r="B338"/>
      <c r="C338"/>
      <c r="D338"/>
      <c r="E338"/>
      <c r="F338"/>
      <c r="G338"/>
      <c r="H338"/>
    </row>
    <row r="339" spans="1:8" ht="15" customHeight="1">
      <c r="A339"/>
      <c r="B339"/>
      <c r="C339"/>
      <c r="D339"/>
      <c r="E339"/>
      <c r="F339"/>
      <c r="G339"/>
      <c r="H339"/>
    </row>
    <row r="340" spans="1:8" ht="15" customHeight="1">
      <c r="A340"/>
      <c r="B340"/>
      <c r="C340"/>
      <c r="D340"/>
      <c r="E340"/>
      <c r="F340"/>
      <c r="G340"/>
      <c r="H340"/>
    </row>
    <row r="341" spans="1:8" ht="15" customHeight="1">
      <c r="A341"/>
      <c r="B341"/>
      <c r="C341"/>
      <c r="D341"/>
      <c r="E341"/>
      <c r="F341"/>
      <c r="G341"/>
      <c r="H341"/>
    </row>
    <row r="342" spans="1:8" ht="15" customHeight="1">
      <c r="A342"/>
      <c r="B342"/>
      <c r="C342"/>
      <c r="D342"/>
      <c r="E342"/>
      <c r="F342"/>
      <c r="G342"/>
      <c r="H342"/>
    </row>
    <row r="343" spans="1:8" ht="15" customHeight="1">
      <c r="A343"/>
      <c r="B343"/>
      <c r="C343"/>
      <c r="D343"/>
      <c r="E343"/>
      <c r="F343"/>
      <c r="G343"/>
      <c r="H343"/>
    </row>
    <row r="344" spans="1:8" ht="15" customHeight="1">
      <c r="A344"/>
      <c r="B344"/>
      <c r="C344"/>
      <c r="D344"/>
      <c r="E344"/>
      <c r="F344"/>
      <c r="G344"/>
      <c r="H344"/>
    </row>
    <row r="345" spans="1:8" ht="15" customHeight="1">
      <c r="A345"/>
      <c r="B345"/>
      <c r="C345"/>
      <c r="D345"/>
      <c r="E345"/>
      <c r="F345"/>
      <c r="G345"/>
      <c r="H345"/>
    </row>
    <row r="346" spans="1:8" ht="15" customHeight="1">
      <c r="A346"/>
      <c r="B346"/>
      <c r="C346"/>
      <c r="D346"/>
      <c r="E346"/>
      <c r="F346"/>
      <c r="G346"/>
      <c r="H346"/>
    </row>
    <row r="347" spans="1:8" ht="15" customHeight="1">
      <c r="A347"/>
      <c r="B347"/>
      <c r="C347"/>
      <c r="D347"/>
      <c r="E347"/>
      <c r="F347"/>
      <c r="G347"/>
      <c r="H347"/>
    </row>
    <row r="348" spans="1:8" ht="15" customHeight="1">
      <c r="A348"/>
      <c r="B348"/>
      <c r="C348"/>
      <c r="D348"/>
      <c r="E348"/>
      <c r="F348"/>
      <c r="G348"/>
      <c r="H348"/>
    </row>
    <row r="349" spans="1:8" ht="15" customHeight="1">
      <c r="A349"/>
      <c r="B349"/>
      <c r="C349"/>
      <c r="D349"/>
      <c r="E349"/>
      <c r="F349"/>
      <c r="G349"/>
      <c r="H349"/>
    </row>
    <row r="350" spans="1:8" ht="15" customHeight="1">
      <c r="A350"/>
      <c r="B350"/>
      <c r="C350"/>
      <c r="D350"/>
      <c r="E350"/>
      <c r="F350"/>
      <c r="G350"/>
      <c r="H350"/>
    </row>
    <row r="351" spans="1:8" ht="15" customHeight="1">
      <c r="A351"/>
      <c r="B351"/>
      <c r="C351"/>
      <c r="D351"/>
      <c r="E351"/>
      <c r="F351"/>
      <c r="G351"/>
      <c r="H351"/>
    </row>
    <row r="352" spans="1:8" ht="15" customHeight="1">
      <c r="A352"/>
      <c r="B352"/>
      <c r="C352"/>
      <c r="D352"/>
      <c r="E352"/>
      <c r="F352"/>
      <c r="G352"/>
      <c r="H352"/>
    </row>
    <row r="353" spans="1:8" ht="15" customHeight="1">
      <c r="A353"/>
      <c r="B353"/>
      <c r="C353"/>
      <c r="D353"/>
      <c r="E353"/>
      <c r="F353"/>
      <c r="G353"/>
      <c r="H353"/>
    </row>
    <row r="354" spans="1:8" ht="15" customHeight="1">
      <c r="A354"/>
      <c r="B354"/>
      <c r="C354"/>
      <c r="D354"/>
      <c r="E354"/>
      <c r="F354"/>
      <c r="G354"/>
      <c r="H354"/>
    </row>
    <row r="355" spans="1:8" ht="15" customHeight="1">
      <c r="A355"/>
      <c r="B355"/>
      <c r="C355"/>
      <c r="D355"/>
      <c r="E355"/>
      <c r="F355"/>
      <c r="G355"/>
      <c r="H355"/>
    </row>
    <row r="356" spans="1:8" ht="15" customHeight="1">
      <c r="A356"/>
      <c r="B356"/>
      <c r="C356"/>
      <c r="D356"/>
      <c r="E356"/>
      <c r="F356"/>
      <c r="G356"/>
      <c r="H356"/>
    </row>
    <row r="357" spans="1:8" ht="15" customHeight="1">
      <c r="A357"/>
      <c r="B357"/>
      <c r="C357"/>
      <c r="D357"/>
      <c r="E357"/>
      <c r="F357"/>
      <c r="G357"/>
      <c r="H357"/>
    </row>
    <row r="358" spans="1:8" ht="15" customHeight="1">
      <c r="A358"/>
      <c r="B358"/>
      <c r="C358"/>
      <c r="D358"/>
      <c r="E358"/>
      <c r="F358"/>
      <c r="G358"/>
      <c r="H358"/>
    </row>
    <row r="359" spans="1:8" ht="15" customHeight="1">
      <c r="A359"/>
      <c r="B359"/>
      <c r="C359"/>
      <c r="D359"/>
      <c r="E359"/>
      <c r="F359"/>
      <c r="G359"/>
      <c r="H359"/>
    </row>
    <row r="360" spans="1:8" ht="15" customHeight="1">
      <c r="A360"/>
      <c r="B360"/>
      <c r="C360"/>
      <c r="D360"/>
      <c r="E360"/>
      <c r="F360"/>
      <c r="G360"/>
      <c r="H360"/>
    </row>
    <row r="361" spans="1:8" ht="15" customHeight="1">
      <c r="A361"/>
      <c r="B361"/>
      <c r="C361"/>
      <c r="D361"/>
      <c r="E361"/>
      <c r="F361"/>
      <c r="G361"/>
      <c r="H361"/>
    </row>
    <row r="362" spans="1:8" ht="15" customHeight="1">
      <c r="A362"/>
      <c r="B362"/>
      <c r="C362"/>
      <c r="D362"/>
      <c r="E362"/>
      <c r="F362"/>
      <c r="G362"/>
      <c r="H362"/>
    </row>
    <row r="363" spans="1:8" ht="15" customHeight="1">
      <c r="A363"/>
      <c r="B363"/>
      <c r="C363"/>
      <c r="D363"/>
      <c r="E363"/>
      <c r="F363"/>
      <c r="G363"/>
      <c r="H363"/>
    </row>
    <row r="364" spans="1:8" ht="15" customHeight="1">
      <c r="A364"/>
      <c r="B364"/>
      <c r="C364"/>
      <c r="D364"/>
      <c r="E364"/>
      <c r="F364"/>
      <c r="G364"/>
      <c r="H364"/>
    </row>
    <row r="365" spans="1:8" ht="15" customHeight="1">
      <c r="A365"/>
      <c r="B365"/>
      <c r="C365"/>
      <c r="D365"/>
      <c r="E365"/>
      <c r="F365"/>
      <c r="G365"/>
      <c r="H365"/>
    </row>
    <row r="366" spans="1:8" ht="15" customHeight="1">
      <c r="A366"/>
      <c r="B366"/>
      <c r="C366"/>
      <c r="D366"/>
      <c r="E366"/>
      <c r="F366"/>
      <c r="G366"/>
      <c r="H366"/>
    </row>
    <row r="367" spans="1:8" ht="15" customHeight="1">
      <c r="A367"/>
      <c r="B367"/>
      <c r="C367"/>
      <c r="D367"/>
      <c r="E367"/>
      <c r="F367"/>
      <c r="G367"/>
      <c r="H367"/>
    </row>
    <row r="368" spans="1:8" ht="15" customHeight="1">
      <c r="A368"/>
      <c r="B368"/>
      <c r="C368"/>
      <c r="D368"/>
      <c r="E368"/>
      <c r="F368"/>
      <c r="G368"/>
      <c r="H368"/>
    </row>
    <row r="369" spans="1:8" ht="15" customHeight="1">
      <c r="A369"/>
      <c r="B369"/>
      <c r="C369"/>
      <c r="D369"/>
      <c r="E369"/>
      <c r="F369"/>
      <c r="G369"/>
      <c r="H369"/>
    </row>
    <row r="370" spans="1:8" ht="15" customHeight="1">
      <c r="A370"/>
      <c r="B370"/>
      <c r="C370"/>
      <c r="D370"/>
      <c r="E370"/>
      <c r="F370"/>
      <c r="G370"/>
      <c r="H370"/>
    </row>
    <row r="371" spans="1:8" ht="15" customHeight="1">
      <c r="A371"/>
      <c r="B371"/>
      <c r="C371"/>
      <c r="D371"/>
      <c r="E371"/>
      <c r="F371"/>
      <c r="G371"/>
      <c r="H371"/>
    </row>
    <row r="372" spans="1:8" ht="15" customHeight="1">
      <c r="A372"/>
      <c r="B372"/>
      <c r="C372"/>
      <c r="D372"/>
      <c r="E372"/>
      <c r="F372"/>
      <c r="G372"/>
      <c r="H372"/>
    </row>
    <row r="373" spans="1:8" ht="15" customHeight="1">
      <c r="A373"/>
      <c r="B373"/>
      <c r="C373"/>
      <c r="D373"/>
      <c r="E373"/>
      <c r="F373"/>
      <c r="G373"/>
      <c r="H373"/>
    </row>
    <row r="374" spans="1:8" ht="15" customHeight="1">
      <c r="A374"/>
      <c r="B374"/>
      <c r="C374"/>
      <c r="D374"/>
      <c r="E374"/>
      <c r="F374"/>
      <c r="G374"/>
      <c r="H374"/>
    </row>
    <row r="375" spans="1:8" ht="15" customHeight="1">
      <c r="A375"/>
      <c r="B375"/>
      <c r="C375"/>
      <c r="D375"/>
      <c r="E375"/>
      <c r="F375"/>
      <c r="G375"/>
      <c r="H375"/>
    </row>
    <row r="376" spans="1:8" ht="15" customHeight="1">
      <c r="A376"/>
      <c r="B376"/>
      <c r="C376"/>
      <c r="D376"/>
      <c r="E376"/>
      <c r="F376"/>
      <c r="G376"/>
      <c r="H376"/>
    </row>
    <row r="377" spans="1:8" ht="15" customHeight="1">
      <c r="A377"/>
      <c r="B377"/>
      <c r="C377"/>
      <c r="D377"/>
      <c r="E377"/>
      <c r="F377"/>
      <c r="G377"/>
      <c r="H377"/>
    </row>
    <row r="378" spans="1:8" ht="15" customHeight="1">
      <c r="A378"/>
      <c r="B378"/>
      <c r="C378"/>
      <c r="D378"/>
      <c r="E378"/>
      <c r="F378"/>
      <c r="G378"/>
      <c r="H378"/>
    </row>
    <row r="379" spans="1:8" ht="15" customHeight="1">
      <c r="A379"/>
      <c r="B379"/>
      <c r="C379"/>
      <c r="D379"/>
      <c r="E379"/>
      <c r="F379"/>
      <c r="G379"/>
      <c r="H379"/>
    </row>
    <row r="380" spans="1:8" ht="15" customHeight="1">
      <c r="A380"/>
      <c r="B380"/>
      <c r="C380"/>
      <c r="D380"/>
      <c r="E380"/>
      <c r="F380"/>
      <c r="G380"/>
      <c r="H380"/>
    </row>
    <row r="381" spans="1:8" ht="15" customHeight="1">
      <c r="A381"/>
      <c r="B381"/>
      <c r="C381"/>
      <c r="D381"/>
      <c r="E381"/>
      <c r="F381"/>
      <c r="G381"/>
      <c r="H381"/>
    </row>
    <row r="382" spans="1:8" ht="15" customHeight="1">
      <c r="A382"/>
      <c r="B382"/>
      <c r="C382"/>
      <c r="D382"/>
      <c r="E382"/>
      <c r="F382"/>
      <c r="G382"/>
      <c r="H382"/>
    </row>
    <row r="383" spans="1:8" ht="15" customHeight="1">
      <c r="A383"/>
      <c r="B383"/>
      <c r="C383"/>
      <c r="D383"/>
      <c r="E383"/>
      <c r="F383"/>
      <c r="G383"/>
      <c r="H383"/>
    </row>
    <row r="384" spans="1:8" ht="15" customHeight="1">
      <c r="A384"/>
      <c r="B384"/>
      <c r="C384"/>
      <c r="D384"/>
      <c r="E384"/>
      <c r="F384"/>
      <c r="G384"/>
      <c r="H384"/>
    </row>
    <row r="385" spans="1:8" ht="15" customHeight="1">
      <c r="A385"/>
      <c r="B385"/>
      <c r="C385"/>
      <c r="D385"/>
      <c r="E385"/>
      <c r="F385"/>
      <c r="G385"/>
      <c r="H385"/>
    </row>
    <row r="386" spans="1:8" ht="15" customHeight="1">
      <c r="A386"/>
      <c r="B386"/>
      <c r="C386"/>
      <c r="D386"/>
      <c r="E386"/>
      <c r="F386"/>
      <c r="G386"/>
      <c r="H386"/>
    </row>
    <row r="387" spans="1:8" ht="15" customHeight="1">
      <c r="A387"/>
      <c r="B387"/>
      <c r="C387"/>
      <c r="D387"/>
      <c r="E387"/>
      <c r="F387"/>
      <c r="G387"/>
      <c r="H387"/>
    </row>
    <row r="388" spans="1:8" ht="15" customHeight="1">
      <c r="A388"/>
      <c r="B388"/>
      <c r="C388"/>
      <c r="D388"/>
      <c r="E388"/>
      <c r="F388"/>
      <c r="G388"/>
      <c r="H388"/>
    </row>
    <row r="389" spans="1:8" ht="15" customHeight="1">
      <c r="A389"/>
      <c r="B389"/>
      <c r="C389"/>
      <c r="D389"/>
      <c r="E389"/>
      <c r="F389"/>
      <c r="G389"/>
      <c r="H389"/>
    </row>
    <row r="390" spans="1:8" ht="15" customHeight="1">
      <c r="A390"/>
      <c r="B390"/>
      <c r="C390"/>
      <c r="D390"/>
      <c r="E390"/>
      <c r="F390"/>
      <c r="G390"/>
      <c r="H390"/>
    </row>
    <row r="391" spans="1:8" ht="15" customHeight="1">
      <c r="A391"/>
      <c r="B391"/>
      <c r="C391"/>
      <c r="D391"/>
      <c r="E391"/>
      <c r="F391"/>
      <c r="G391"/>
      <c r="H391"/>
    </row>
    <row r="392" spans="1:8" ht="15" customHeight="1">
      <c r="A392"/>
      <c r="B392"/>
      <c r="C392"/>
      <c r="D392"/>
      <c r="E392"/>
      <c r="F392"/>
      <c r="G392"/>
      <c r="H392"/>
    </row>
    <row r="393" spans="1:8" ht="15" customHeight="1">
      <c r="A393"/>
      <c r="B393"/>
      <c r="C393"/>
      <c r="D393"/>
      <c r="E393"/>
      <c r="F393"/>
      <c r="G393"/>
      <c r="H393"/>
    </row>
    <row r="394" spans="1:8" ht="15" customHeight="1">
      <c r="A394"/>
      <c r="B394"/>
      <c r="C394"/>
      <c r="D394"/>
      <c r="E394"/>
      <c r="F394"/>
      <c r="G394"/>
      <c r="H394"/>
    </row>
    <row r="395" spans="1:8" ht="15" customHeight="1">
      <c r="A395"/>
      <c r="B395"/>
      <c r="C395"/>
      <c r="D395"/>
      <c r="E395"/>
      <c r="F395"/>
      <c r="G395"/>
      <c r="H395"/>
    </row>
    <row r="396" spans="1:8" ht="15" customHeight="1">
      <c r="A396"/>
      <c r="B396"/>
      <c r="C396"/>
      <c r="D396"/>
      <c r="E396"/>
      <c r="F396"/>
      <c r="G396"/>
      <c r="H396"/>
    </row>
    <row r="397" spans="1:8" ht="15" customHeight="1">
      <c r="A397"/>
      <c r="B397"/>
      <c r="C397"/>
      <c r="D397"/>
      <c r="E397"/>
      <c r="F397"/>
      <c r="G397"/>
      <c r="H397"/>
    </row>
    <row r="398" spans="1:8" ht="15" customHeight="1">
      <c r="A398"/>
      <c r="B398"/>
      <c r="C398"/>
      <c r="D398"/>
      <c r="E398"/>
      <c r="F398"/>
      <c r="G398"/>
      <c r="H398"/>
    </row>
    <row r="399" spans="1:8" ht="15" customHeight="1">
      <c r="A399"/>
      <c r="B399"/>
      <c r="C399"/>
      <c r="D399"/>
      <c r="E399"/>
      <c r="F399"/>
      <c r="G399"/>
      <c r="H399"/>
    </row>
    <row r="400" spans="1:8" ht="15" customHeight="1">
      <c r="A400"/>
      <c r="B400"/>
      <c r="C400"/>
      <c r="D400"/>
      <c r="E400"/>
      <c r="F400"/>
      <c r="G400"/>
      <c r="H400"/>
    </row>
    <row r="401" spans="1:8" ht="15" customHeight="1">
      <c r="A401"/>
      <c r="B401"/>
      <c r="C401"/>
      <c r="D401"/>
      <c r="E401"/>
      <c r="F401"/>
      <c r="G401"/>
      <c r="H401"/>
    </row>
    <row r="402" spans="1:8" ht="15" customHeight="1">
      <c r="A402"/>
      <c r="B402"/>
      <c r="C402"/>
      <c r="D402"/>
      <c r="E402"/>
      <c r="F402"/>
      <c r="G402"/>
      <c r="H402"/>
    </row>
    <row r="403" spans="1:8" ht="15" customHeight="1">
      <c r="A403"/>
      <c r="B403"/>
      <c r="C403"/>
      <c r="D403"/>
      <c r="E403"/>
      <c r="F403"/>
      <c r="G403"/>
      <c r="H403"/>
    </row>
    <row r="404" spans="1:8" ht="15" customHeight="1">
      <c r="A404"/>
      <c r="B404"/>
      <c r="C404"/>
      <c r="D404"/>
      <c r="E404"/>
      <c r="F404"/>
      <c r="G404"/>
      <c r="H404"/>
    </row>
    <row r="405" spans="1:8" ht="15" customHeight="1">
      <c r="A405"/>
      <c r="B405"/>
      <c r="C405"/>
      <c r="D405"/>
      <c r="E405"/>
      <c r="F405"/>
      <c r="G405"/>
      <c r="H405"/>
    </row>
    <row r="406" spans="1:8" ht="15" customHeight="1">
      <c r="A406"/>
      <c r="B406"/>
      <c r="C406"/>
      <c r="D406"/>
      <c r="E406"/>
      <c r="F406"/>
      <c r="G406"/>
      <c r="H406"/>
    </row>
    <row r="407" spans="1:8" ht="15" customHeight="1">
      <c r="A407"/>
      <c r="B407"/>
      <c r="C407"/>
      <c r="D407"/>
      <c r="E407"/>
      <c r="F407"/>
      <c r="G407"/>
      <c r="H407"/>
    </row>
    <row r="408" spans="1:8" ht="15" customHeight="1">
      <c r="A408"/>
      <c r="B408"/>
      <c r="C408"/>
      <c r="D408"/>
      <c r="E408"/>
      <c r="F408"/>
      <c r="G408"/>
      <c r="H408"/>
    </row>
    <row r="409" spans="1:8" ht="15" customHeight="1">
      <c r="A409"/>
      <c r="B409"/>
      <c r="C409"/>
      <c r="D409"/>
      <c r="E409"/>
      <c r="F409"/>
      <c r="G409"/>
      <c r="H409"/>
    </row>
    <row r="410" spans="1:8" ht="15" customHeight="1">
      <c r="A410"/>
      <c r="B410"/>
      <c r="C410"/>
      <c r="D410"/>
      <c r="E410"/>
      <c r="F410"/>
      <c r="G410"/>
      <c r="H410"/>
    </row>
    <row r="411" spans="1:8" ht="15" customHeight="1">
      <c r="A411"/>
      <c r="B411"/>
      <c r="C411"/>
      <c r="D411"/>
      <c r="E411"/>
      <c r="F411"/>
      <c r="G411"/>
      <c r="H411"/>
    </row>
    <row r="412" spans="1:8" ht="15" customHeight="1">
      <c r="A412"/>
      <c r="B412"/>
      <c r="C412"/>
      <c r="D412"/>
      <c r="E412"/>
      <c r="F412"/>
      <c r="G412"/>
      <c r="H412"/>
    </row>
    <row r="413" spans="1:8" ht="15" customHeight="1">
      <c r="A413"/>
      <c r="B413"/>
      <c r="C413"/>
      <c r="D413"/>
      <c r="E413"/>
      <c r="F413"/>
      <c r="G413"/>
      <c r="H413"/>
    </row>
    <row r="414" spans="1:8" ht="15" customHeight="1">
      <c r="A414"/>
      <c r="B414"/>
      <c r="C414"/>
      <c r="D414"/>
      <c r="E414"/>
      <c r="F414"/>
      <c r="G414"/>
      <c r="H414"/>
    </row>
    <row r="415" spans="1:8" ht="15" customHeight="1">
      <c r="A415"/>
      <c r="B415"/>
      <c r="C415"/>
      <c r="D415"/>
      <c r="E415"/>
      <c r="F415"/>
      <c r="G415"/>
      <c r="H415"/>
    </row>
    <row r="416" spans="1:8" ht="15" customHeight="1">
      <c r="A416"/>
      <c r="B416"/>
      <c r="C416"/>
      <c r="D416"/>
      <c r="E416"/>
      <c r="F416"/>
      <c r="G416"/>
      <c r="H416"/>
    </row>
    <row r="417" spans="1:8" ht="15" customHeight="1">
      <c r="A417"/>
      <c r="B417"/>
      <c r="C417"/>
      <c r="D417"/>
      <c r="E417"/>
      <c r="F417"/>
      <c r="G417"/>
      <c r="H417"/>
    </row>
    <row r="418" spans="1:8" ht="15" customHeight="1">
      <c r="A418"/>
      <c r="B418"/>
      <c r="C418"/>
      <c r="D418"/>
      <c r="E418"/>
      <c r="F418"/>
      <c r="G418"/>
      <c r="H418"/>
    </row>
    <row r="419" spans="1:8" ht="15" customHeight="1">
      <c r="A419"/>
      <c r="B419"/>
      <c r="C419"/>
      <c r="D419"/>
      <c r="E419"/>
      <c r="F419"/>
      <c r="G419"/>
      <c r="H419"/>
    </row>
    <row r="420" spans="1:8" ht="15" customHeight="1">
      <c r="A420"/>
      <c r="B420"/>
      <c r="C420"/>
      <c r="D420"/>
      <c r="E420"/>
      <c r="F420"/>
      <c r="G420"/>
      <c r="H420"/>
    </row>
    <row r="421" spans="1:8" ht="15" customHeight="1">
      <c r="A421"/>
      <c r="B421"/>
      <c r="C421"/>
      <c r="D421"/>
      <c r="E421"/>
      <c r="F421"/>
      <c r="G421"/>
      <c r="H421"/>
    </row>
    <row r="422" spans="1:8" ht="15" customHeight="1">
      <c r="A422"/>
      <c r="B422"/>
      <c r="C422"/>
      <c r="D422"/>
      <c r="E422"/>
      <c r="F422"/>
      <c r="G422"/>
      <c r="H422"/>
    </row>
    <row r="423" spans="1:8" ht="15" customHeight="1">
      <c r="A423"/>
      <c r="B423"/>
      <c r="C423"/>
      <c r="D423"/>
      <c r="E423"/>
      <c r="F423"/>
      <c r="G423"/>
      <c r="H423"/>
    </row>
    <row r="424" spans="1:8" ht="15" customHeight="1">
      <c r="A424"/>
      <c r="B424"/>
      <c r="C424"/>
      <c r="D424"/>
      <c r="E424"/>
      <c r="F424"/>
      <c r="G424"/>
      <c r="H424"/>
    </row>
    <row r="425" spans="1:8" ht="15" customHeight="1">
      <c r="A425"/>
      <c r="B425"/>
      <c r="C425"/>
      <c r="D425"/>
      <c r="E425"/>
      <c r="F425"/>
      <c r="G425"/>
      <c r="H425"/>
    </row>
    <row r="426" spans="1:8" ht="15" customHeight="1">
      <c r="A426"/>
      <c r="B426"/>
      <c r="C426"/>
      <c r="D426"/>
      <c r="E426"/>
      <c r="F426"/>
      <c r="G426"/>
      <c r="H426"/>
    </row>
    <row r="427" spans="1:8" ht="15" customHeight="1">
      <c r="A427"/>
      <c r="B427"/>
      <c r="C427"/>
      <c r="D427"/>
      <c r="E427"/>
      <c r="F427"/>
      <c r="G427"/>
      <c r="H427"/>
    </row>
    <row r="428" spans="1:8" ht="15" customHeight="1">
      <c r="A428"/>
      <c r="B428"/>
      <c r="C428"/>
      <c r="D428"/>
      <c r="E428"/>
      <c r="F428"/>
      <c r="G428"/>
      <c r="H428"/>
    </row>
    <row r="429" spans="1:8" ht="15" customHeight="1">
      <c r="A429"/>
      <c r="B429"/>
      <c r="C429"/>
      <c r="D429"/>
      <c r="E429"/>
      <c r="F429"/>
      <c r="G429"/>
      <c r="H429"/>
    </row>
    <row r="430" spans="1:8" ht="15" customHeight="1">
      <c r="A430"/>
      <c r="B430"/>
      <c r="C430"/>
      <c r="D430"/>
      <c r="E430"/>
      <c r="F430"/>
      <c r="G430"/>
      <c r="H430"/>
    </row>
    <row r="431" spans="1:8" ht="15" customHeight="1">
      <c r="A431"/>
      <c r="B431"/>
      <c r="C431"/>
      <c r="D431"/>
      <c r="E431"/>
      <c r="F431"/>
      <c r="G431"/>
      <c r="H431"/>
    </row>
    <row r="432" spans="1:8" ht="15" customHeight="1">
      <c r="A432"/>
      <c r="B432"/>
      <c r="C432"/>
      <c r="D432"/>
      <c r="E432"/>
      <c r="F432"/>
      <c r="G432"/>
      <c r="H432"/>
    </row>
    <row r="433" spans="1:8" ht="15" customHeight="1">
      <c r="A433"/>
      <c r="B433"/>
      <c r="C433"/>
      <c r="D433"/>
      <c r="E433"/>
      <c r="F433"/>
      <c r="G433"/>
      <c r="H433"/>
    </row>
    <row r="434" spans="1:8" ht="15" customHeight="1">
      <c r="A434"/>
      <c r="B434"/>
      <c r="C434"/>
      <c r="D434"/>
      <c r="E434"/>
      <c r="F434"/>
      <c r="G434"/>
      <c r="H434"/>
    </row>
    <row r="435" spans="1:8" ht="15" customHeight="1">
      <c r="A435"/>
      <c r="B435"/>
      <c r="C435"/>
      <c r="D435"/>
      <c r="E435"/>
      <c r="F435"/>
      <c r="G435"/>
      <c r="H435"/>
    </row>
    <row r="436" spans="1:8" ht="15" customHeight="1">
      <c r="A436"/>
      <c r="B436"/>
      <c r="C436"/>
      <c r="D436"/>
      <c r="E436"/>
      <c r="F436"/>
      <c r="G436"/>
      <c r="H436"/>
    </row>
    <row r="437" spans="1:8" ht="15" customHeight="1">
      <c r="A437"/>
      <c r="B437"/>
      <c r="C437"/>
      <c r="D437"/>
      <c r="E437"/>
      <c r="F437"/>
      <c r="G437"/>
      <c r="H437"/>
    </row>
    <row r="438" spans="1:8" ht="15" customHeight="1">
      <c r="A438"/>
      <c r="B438"/>
      <c r="C438"/>
      <c r="D438"/>
      <c r="E438"/>
      <c r="F438"/>
      <c r="G438"/>
      <c r="H438"/>
    </row>
    <row r="439" spans="1:8" ht="15" customHeight="1">
      <c r="A439"/>
      <c r="B439"/>
      <c r="C439"/>
      <c r="D439"/>
      <c r="E439"/>
      <c r="F439"/>
      <c r="G439"/>
      <c r="H439"/>
    </row>
    <row r="440" spans="1:8" ht="15" customHeight="1">
      <c r="A440"/>
      <c r="B440"/>
      <c r="C440"/>
      <c r="D440"/>
      <c r="E440"/>
      <c r="F440"/>
      <c r="G440"/>
      <c r="H440"/>
    </row>
    <row r="441" spans="1:8" ht="15" customHeight="1">
      <c r="A441"/>
      <c r="B441"/>
      <c r="C441"/>
      <c r="D441"/>
      <c r="E441"/>
      <c r="F441"/>
      <c r="G441"/>
      <c r="H441"/>
    </row>
    <row r="442" spans="1:8" ht="15" customHeight="1">
      <c r="A442"/>
      <c r="B442"/>
      <c r="C442"/>
      <c r="D442"/>
      <c r="E442"/>
      <c r="F442"/>
      <c r="G442"/>
      <c r="H442"/>
    </row>
    <row r="443" spans="1:8" ht="15" customHeight="1">
      <c r="A443"/>
      <c r="B443"/>
      <c r="C443"/>
      <c r="D443"/>
      <c r="E443"/>
      <c r="F443"/>
      <c r="G443"/>
      <c r="H443"/>
    </row>
    <row r="444" spans="1:8" ht="15" customHeight="1">
      <c r="A444"/>
      <c r="B444"/>
      <c r="C444"/>
      <c r="D444"/>
      <c r="E444"/>
      <c r="F444"/>
      <c r="G444"/>
      <c r="H444"/>
    </row>
    <row r="445" spans="1:8" ht="15" customHeight="1">
      <c r="A445"/>
      <c r="B445"/>
      <c r="C445"/>
      <c r="D445"/>
      <c r="E445"/>
      <c r="F445"/>
      <c r="G445"/>
      <c r="H445"/>
    </row>
    <row r="446" spans="1:8" ht="15" customHeight="1">
      <c r="A446"/>
      <c r="B446"/>
      <c r="C446"/>
      <c r="D446"/>
      <c r="E446"/>
      <c r="F446"/>
      <c r="G446"/>
      <c r="H446"/>
    </row>
    <row r="447" spans="1:8" ht="15" customHeight="1">
      <c r="A447"/>
      <c r="B447"/>
      <c r="C447"/>
      <c r="D447"/>
      <c r="E447"/>
      <c r="F447"/>
      <c r="G447"/>
      <c r="H447"/>
    </row>
    <row r="448" spans="1:8" ht="15" customHeight="1">
      <c r="A448"/>
      <c r="B448"/>
      <c r="C448"/>
      <c r="D448"/>
      <c r="E448"/>
      <c r="F448"/>
      <c r="G448"/>
      <c r="H448"/>
    </row>
    <row r="449" spans="1:8" ht="15" customHeight="1">
      <c r="A449"/>
      <c r="B449"/>
      <c r="C449"/>
      <c r="D449"/>
      <c r="E449"/>
      <c r="F449"/>
      <c r="G449"/>
      <c r="H449"/>
    </row>
    <row r="450" spans="1:8" ht="15" customHeight="1">
      <c r="A450"/>
      <c r="B450"/>
      <c r="C450"/>
      <c r="D450"/>
      <c r="E450"/>
      <c r="F450"/>
      <c r="G450"/>
      <c r="H450"/>
    </row>
    <row r="451" spans="1:8" ht="15" customHeight="1">
      <c r="A451"/>
      <c r="B451"/>
      <c r="C451"/>
      <c r="D451"/>
      <c r="E451"/>
      <c r="F451"/>
      <c r="G451"/>
      <c r="H451"/>
    </row>
    <row r="452" spans="1:8" ht="15" customHeight="1">
      <c r="A452"/>
      <c r="B452"/>
      <c r="C452"/>
      <c r="D452"/>
      <c r="E452"/>
      <c r="F452"/>
      <c r="G452"/>
      <c r="H452"/>
    </row>
    <row r="453" spans="1:8" ht="15" customHeight="1">
      <c r="A453"/>
      <c r="B453"/>
      <c r="C453"/>
      <c r="D453"/>
      <c r="E453"/>
      <c r="F453"/>
      <c r="G453"/>
      <c r="H453"/>
    </row>
    <row r="454" spans="1:8" ht="15" customHeight="1">
      <c r="A454"/>
      <c r="B454"/>
      <c r="C454"/>
      <c r="D454"/>
      <c r="E454"/>
      <c r="F454"/>
      <c r="G454"/>
      <c r="H454"/>
    </row>
    <row r="455" spans="1:8" ht="15" customHeight="1">
      <c r="A455"/>
      <c r="B455"/>
      <c r="C455"/>
      <c r="D455"/>
      <c r="E455"/>
      <c r="F455"/>
      <c r="G455"/>
      <c r="H455"/>
    </row>
    <row r="456" spans="1:8" ht="15" customHeight="1">
      <c r="A456"/>
      <c r="B456"/>
      <c r="C456"/>
      <c r="D456"/>
      <c r="E456"/>
      <c r="F456"/>
      <c r="G456"/>
      <c r="H456"/>
    </row>
    <row r="457" spans="1:8" ht="15" customHeight="1">
      <c r="A457"/>
      <c r="B457"/>
      <c r="C457"/>
      <c r="D457"/>
      <c r="E457"/>
      <c r="F457"/>
      <c r="G457"/>
      <c r="H457"/>
    </row>
    <row r="458" spans="1:8" ht="15" customHeight="1">
      <c r="A458"/>
      <c r="B458"/>
      <c r="C458"/>
      <c r="D458"/>
      <c r="E458"/>
      <c r="F458"/>
      <c r="G458"/>
      <c r="H458"/>
    </row>
    <row r="459" spans="1:8" ht="15" customHeight="1">
      <c r="A459"/>
      <c r="B459"/>
      <c r="C459"/>
      <c r="D459"/>
      <c r="E459"/>
      <c r="F459"/>
      <c r="G459"/>
      <c r="H459"/>
    </row>
    <row r="460" spans="1:8" ht="15" customHeight="1">
      <c r="A460"/>
      <c r="B460"/>
      <c r="C460"/>
      <c r="D460"/>
      <c r="E460"/>
      <c r="F460"/>
      <c r="G460"/>
      <c r="H460"/>
    </row>
    <row r="461" spans="1:8" ht="15" customHeight="1">
      <c r="A461"/>
      <c r="B461"/>
      <c r="C461"/>
      <c r="D461"/>
      <c r="E461"/>
      <c r="F461"/>
      <c r="G461"/>
      <c r="H461"/>
    </row>
    <row r="462" spans="1:8" ht="15" customHeight="1">
      <c r="A462"/>
      <c r="B462"/>
      <c r="C462"/>
      <c r="D462"/>
      <c r="E462"/>
      <c r="F462"/>
      <c r="G462"/>
      <c r="H462"/>
    </row>
    <row r="463" spans="1:8" ht="15" customHeight="1">
      <c r="A463"/>
      <c r="B463"/>
      <c r="C463"/>
      <c r="D463"/>
      <c r="E463"/>
      <c r="F463"/>
      <c r="G463"/>
      <c r="H463"/>
    </row>
    <row r="464" spans="1:8" ht="15" customHeight="1">
      <c r="A464"/>
      <c r="B464"/>
      <c r="C464"/>
      <c r="D464"/>
      <c r="E464"/>
      <c r="F464"/>
      <c r="G464"/>
      <c r="H464"/>
    </row>
    <row r="465" spans="1:8" ht="15" customHeight="1">
      <c r="A465"/>
      <c r="B465"/>
      <c r="C465"/>
      <c r="D465"/>
      <c r="E465"/>
      <c r="F465"/>
      <c r="G465"/>
      <c r="H465"/>
    </row>
    <row r="466" spans="1:8" ht="15" customHeight="1">
      <c r="A466"/>
      <c r="B466"/>
      <c r="C466"/>
      <c r="D466"/>
      <c r="E466"/>
      <c r="F466"/>
      <c r="G466"/>
      <c r="H466"/>
    </row>
    <row r="467" spans="1:8" ht="15" customHeight="1">
      <c r="A467"/>
      <c r="B467"/>
      <c r="C467"/>
      <c r="D467"/>
      <c r="E467"/>
      <c r="F467"/>
      <c r="G467"/>
      <c r="H467"/>
    </row>
    <row r="468" spans="1:8" ht="15" customHeight="1">
      <c r="A468"/>
      <c r="B468"/>
      <c r="C468"/>
      <c r="D468"/>
      <c r="E468"/>
      <c r="F468"/>
      <c r="G468"/>
      <c r="H468"/>
    </row>
    <row r="469" spans="1:8" ht="15" customHeight="1">
      <c r="A469"/>
      <c r="B469"/>
      <c r="C469"/>
      <c r="D469"/>
      <c r="E469"/>
      <c r="F469"/>
      <c r="G469"/>
      <c r="H469"/>
    </row>
    <row r="470" spans="1:8" ht="15" customHeight="1">
      <c r="A470"/>
      <c r="B470"/>
      <c r="C470"/>
      <c r="D470"/>
      <c r="E470"/>
      <c r="F470"/>
      <c r="G470"/>
      <c r="H470"/>
    </row>
    <row r="471" spans="1:8" ht="15" customHeight="1">
      <c r="A471"/>
      <c r="B471"/>
      <c r="C471"/>
      <c r="D471"/>
      <c r="E471"/>
      <c r="F471"/>
      <c r="G471"/>
      <c r="H471"/>
    </row>
    <row r="472" spans="1:8" ht="15" customHeight="1">
      <c r="A472"/>
      <c r="B472"/>
      <c r="C472"/>
      <c r="D472"/>
      <c r="E472"/>
      <c r="F472"/>
      <c r="G472"/>
      <c r="H472"/>
    </row>
    <row r="473" spans="1:8" ht="15" customHeight="1">
      <c r="A473"/>
      <c r="B473"/>
      <c r="C473"/>
      <c r="D473"/>
      <c r="E473"/>
      <c r="F473"/>
      <c r="G473"/>
      <c r="H473"/>
    </row>
    <row r="474" spans="1:8" ht="15" customHeight="1">
      <c r="A474"/>
      <c r="B474"/>
      <c r="C474"/>
      <c r="D474"/>
      <c r="E474"/>
      <c r="F474"/>
      <c r="G474"/>
      <c r="H474"/>
    </row>
    <row r="475" spans="1:8" ht="15" customHeight="1">
      <c r="A475"/>
      <c r="B475"/>
      <c r="C475"/>
      <c r="D475"/>
      <c r="E475"/>
      <c r="F475"/>
      <c r="G475"/>
      <c r="H475"/>
    </row>
    <row r="476" spans="1:8" ht="15" customHeight="1">
      <c r="A476"/>
      <c r="B476"/>
      <c r="C476"/>
      <c r="D476"/>
      <c r="E476"/>
      <c r="F476"/>
      <c r="G476"/>
      <c r="H476"/>
    </row>
    <row r="477" spans="1:8" ht="15" customHeight="1">
      <c r="A477"/>
      <c r="B477"/>
      <c r="C477"/>
      <c r="D477"/>
      <c r="E477"/>
      <c r="F477"/>
      <c r="G477"/>
      <c r="H477"/>
    </row>
    <row r="478" spans="1:8" ht="15" customHeight="1">
      <c r="A478"/>
      <c r="B478"/>
      <c r="C478"/>
      <c r="D478"/>
      <c r="E478"/>
      <c r="F478"/>
      <c r="G478"/>
      <c r="H478"/>
    </row>
    <row r="479" spans="1:8" ht="15" customHeight="1">
      <c r="A479"/>
      <c r="B479"/>
      <c r="C479"/>
      <c r="D479"/>
      <c r="E479"/>
      <c r="F479"/>
      <c r="G479"/>
      <c r="H479"/>
    </row>
    <row r="480" spans="1:8" ht="15" customHeight="1">
      <c r="A480"/>
      <c r="B480"/>
      <c r="C480"/>
      <c r="D480"/>
      <c r="E480"/>
      <c r="F480"/>
      <c r="G480"/>
      <c r="H480"/>
    </row>
    <row r="481" spans="1:8" ht="15" customHeight="1">
      <c r="A481"/>
      <c r="B481"/>
      <c r="C481"/>
      <c r="D481"/>
      <c r="E481"/>
      <c r="F481"/>
      <c r="G481"/>
      <c r="H481"/>
    </row>
    <row r="482" spans="1:8" ht="15" customHeight="1">
      <c r="A482"/>
      <c r="B482"/>
      <c r="C482"/>
      <c r="D482"/>
      <c r="E482"/>
      <c r="F482"/>
      <c r="G482"/>
      <c r="H482"/>
    </row>
    <row r="483" spans="1:8" ht="15" customHeight="1">
      <c r="A483"/>
      <c r="B483"/>
      <c r="C483"/>
      <c r="D483"/>
      <c r="E483"/>
      <c r="F483"/>
      <c r="G483"/>
      <c r="H483"/>
    </row>
    <row r="484" spans="1:8" ht="15" customHeight="1">
      <c r="A484"/>
      <c r="B484"/>
      <c r="C484"/>
      <c r="D484"/>
      <c r="E484"/>
      <c r="F484"/>
      <c r="G484"/>
      <c r="H484"/>
    </row>
    <row r="485" spans="1:8" ht="15" customHeight="1">
      <c r="A485"/>
      <c r="B485"/>
      <c r="C485"/>
      <c r="D485"/>
      <c r="E485"/>
      <c r="F485"/>
      <c r="G485"/>
      <c r="H485"/>
    </row>
    <row r="486" spans="1:8" ht="15" customHeight="1">
      <c r="A486"/>
      <c r="B486"/>
      <c r="C486"/>
      <c r="D486"/>
      <c r="E486"/>
      <c r="F486"/>
      <c r="G486"/>
      <c r="H486"/>
    </row>
    <row r="487" spans="1:8" ht="15" customHeight="1">
      <c r="A487"/>
      <c r="B487"/>
      <c r="C487"/>
      <c r="D487"/>
      <c r="E487"/>
      <c r="F487"/>
      <c r="G487"/>
      <c r="H487"/>
    </row>
    <row r="488" spans="1:8" ht="15" customHeight="1">
      <c r="A488"/>
      <c r="B488"/>
      <c r="C488"/>
      <c r="D488"/>
      <c r="E488"/>
      <c r="F488"/>
      <c r="G488"/>
      <c r="H488"/>
    </row>
    <row r="489" spans="1:8" ht="15" customHeight="1">
      <c r="A489"/>
      <c r="B489"/>
      <c r="C489"/>
      <c r="D489"/>
      <c r="E489"/>
      <c r="F489"/>
      <c r="G489"/>
      <c r="H489"/>
    </row>
    <row r="490" spans="1:8" ht="15" customHeight="1">
      <c r="A490"/>
      <c r="B490"/>
      <c r="C490"/>
      <c r="D490"/>
      <c r="E490"/>
      <c r="F490"/>
      <c r="G490"/>
      <c r="H490"/>
    </row>
    <row r="491" spans="1:8" ht="15" customHeight="1">
      <c r="A491"/>
      <c r="B491"/>
      <c r="C491"/>
      <c r="D491"/>
      <c r="E491"/>
      <c r="F491"/>
      <c r="G491"/>
      <c r="H491"/>
    </row>
    <row r="492" spans="1:8" ht="15" customHeight="1">
      <c r="A492"/>
      <c r="B492"/>
      <c r="C492"/>
      <c r="D492"/>
      <c r="E492"/>
      <c r="F492"/>
      <c r="G492"/>
      <c r="H492"/>
    </row>
    <row r="493" spans="1:8" ht="15" customHeight="1">
      <c r="A493"/>
      <c r="B493"/>
      <c r="C493"/>
      <c r="D493"/>
      <c r="E493"/>
      <c r="F493"/>
      <c r="G493"/>
      <c r="H493"/>
    </row>
    <row r="494" spans="1:8" ht="15" customHeight="1">
      <c r="A494"/>
      <c r="B494"/>
      <c r="C494"/>
      <c r="D494"/>
      <c r="E494"/>
      <c r="F494"/>
      <c r="G494"/>
      <c r="H494"/>
    </row>
    <row r="495" spans="1:8" ht="15" customHeight="1">
      <c r="A495"/>
      <c r="B495"/>
      <c r="C495"/>
      <c r="D495"/>
      <c r="E495"/>
      <c r="F495"/>
      <c r="G495"/>
      <c r="H495"/>
    </row>
    <row r="496" spans="1:8" ht="15" customHeight="1">
      <c r="A496"/>
      <c r="B496"/>
      <c r="C496"/>
      <c r="D496"/>
      <c r="E496"/>
      <c r="F496"/>
      <c r="G496"/>
      <c r="H496"/>
    </row>
    <row r="497" spans="1:8" ht="15" customHeight="1">
      <c r="A497"/>
      <c r="B497"/>
      <c r="C497"/>
      <c r="D497"/>
      <c r="E497"/>
      <c r="F497"/>
      <c r="G497"/>
      <c r="H497"/>
    </row>
    <row r="498" spans="1:8" ht="15" customHeight="1">
      <c r="A498"/>
      <c r="B498"/>
      <c r="C498"/>
      <c r="D498"/>
      <c r="E498"/>
      <c r="F498"/>
      <c r="G498"/>
      <c r="H498"/>
    </row>
    <row r="499" spans="1:8" ht="15" customHeight="1">
      <c r="A499"/>
      <c r="B499"/>
      <c r="C499"/>
      <c r="D499"/>
      <c r="E499"/>
      <c r="F499"/>
      <c r="G499"/>
      <c r="H499"/>
    </row>
    <row r="500" spans="1:8" ht="15" customHeight="1">
      <c r="A500"/>
      <c r="B500"/>
      <c r="C500"/>
      <c r="D500"/>
      <c r="E500"/>
      <c r="F500"/>
      <c r="G500"/>
      <c r="H500"/>
    </row>
    <row r="501" spans="1:8" ht="15" customHeight="1">
      <c r="A501"/>
      <c r="B501"/>
      <c r="C501"/>
      <c r="D501"/>
      <c r="E501"/>
      <c r="F501"/>
      <c r="G501"/>
      <c r="H501"/>
    </row>
    <row r="502" spans="1:8" ht="15" customHeight="1">
      <c r="A502"/>
      <c r="B502"/>
      <c r="C502"/>
      <c r="D502"/>
      <c r="E502"/>
      <c r="F502"/>
      <c r="G502"/>
      <c r="H502"/>
    </row>
    <row r="503" spans="1:8" ht="15" customHeight="1">
      <c r="A503"/>
      <c r="B503"/>
      <c r="C503"/>
      <c r="D503"/>
      <c r="E503"/>
      <c r="F503"/>
      <c r="G503"/>
      <c r="H503"/>
    </row>
    <row r="504" spans="1:8" ht="15" customHeight="1">
      <c r="A504"/>
      <c r="B504"/>
      <c r="C504"/>
      <c r="D504"/>
      <c r="E504"/>
      <c r="F504"/>
      <c r="G504"/>
      <c r="H504"/>
    </row>
    <row r="505" spans="1:8" ht="15" customHeight="1">
      <c r="A505"/>
      <c r="B505"/>
      <c r="C505"/>
      <c r="D505"/>
      <c r="E505"/>
      <c r="F505"/>
      <c r="G505"/>
      <c r="H505"/>
    </row>
    <row r="506" spans="1:8" ht="15" customHeight="1">
      <c r="A506"/>
      <c r="B506"/>
      <c r="C506"/>
      <c r="D506"/>
      <c r="E506"/>
      <c r="F506"/>
      <c r="G506"/>
      <c r="H506"/>
    </row>
    <row r="507" spans="1:8" ht="15" customHeight="1">
      <c r="A507"/>
      <c r="B507"/>
      <c r="C507"/>
      <c r="D507"/>
      <c r="E507"/>
      <c r="F507"/>
      <c r="G507"/>
      <c r="H507"/>
    </row>
    <row r="508" spans="1:8" ht="15" customHeight="1">
      <c r="A508"/>
      <c r="B508"/>
      <c r="C508"/>
      <c r="D508"/>
      <c r="E508"/>
      <c r="F508"/>
      <c r="G508"/>
      <c r="H508"/>
    </row>
    <row r="509" spans="1:8" ht="15" customHeight="1">
      <c r="A509"/>
      <c r="B509"/>
      <c r="C509"/>
      <c r="D509"/>
      <c r="E509"/>
      <c r="F509"/>
      <c r="G509"/>
      <c r="H509"/>
    </row>
    <row r="510" spans="1:8" ht="15" customHeight="1">
      <c r="A510"/>
      <c r="B510"/>
      <c r="C510"/>
      <c r="D510"/>
      <c r="E510"/>
      <c r="F510"/>
      <c r="G510"/>
      <c r="H510"/>
    </row>
    <row r="511" spans="1:8" ht="15" customHeight="1">
      <c r="A511"/>
      <c r="B511"/>
      <c r="C511"/>
      <c r="D511"/>
      <c r="E511"/>
      <c r="F511"/>
      <c r="G511"/>
      <c r="H511"/>
    </row>
    <row r="512" spans="1:8" ht="15" customHeight="1">
      <c r="A512"/>
      <c r="B512"/>
      <c r="C512"/>
      <c r="D512"/>
      <c r="E512"/>
      <c r="F512"/>
      <c r="G512"/>
      <c r="H512"/>
    </row>
    <row r="513" spans="1:8" ht="15" customHeight="1">
      <c r="A513"/>
      <c r="B513"/>
      <c r="C513"/>
      <c r="D513"/>
      <c r="E513"/>
      <c r="F513"/>
      <c r="G513"/>
      <c r="H513"/>
    </row>
    <row r="514" spans="1:8" ht="15" customHeight="1">
      <c r="A514"/>
      <c r="B514"/>
      <c r="C514"/>
      <c r="D514"/>
      <c r="E514"/>
      <c r="F514"/>
      <c r="G514"/>
      <c r="H514"/>
    </row>
    <row r="515" spans="1:8" ht="15" customHeight="1">
      <c r="A515"/>
      <c r="B515"/>
      <c r="C515"/>
      <c r="D515"/>
      <c r="E515"/>
      <c r="F515"/>
      <c r="G515"/>
      <c r="H515"/>
    </row>
    <row r="516" spans="1:8" ht="15" customHeight="1">
      <c r="A516"/>
      <c r="B516"/>
      <c r="C516"/>
      <c r="D516"/>
      <c r="E516"/>
      <c r="F516"/>
      <c r="G516"/>
      <c r="H516"/>
    </row>
    <row r="517" spans="1:8" ht="15" customHeight="1">
      <c r="A517"/>
      <c r="B517"/>
      <c r="C517"/>
      <c r="D517"/>
      <c r="E517"/>
      <c r="F517"/>
      <c r="G517"/>
      <c r="H517"/>
    </row>
    <row r="518" spans="1:8" ht="15" customHeight="1">
      <c r="A518"/>
      <c r="B518"/>
      <c r="C518"/>
      <c r="D518"/>
      <c r="E518"/>
      <c r="F518"/>
      <c r="G518"/>
      <c r="H518"/>
    </row>
    <row r="519" spans="1:8" ht="15" customHeight="1">
      <c r="A519"/>
      <c r="B519"/>
      <c r="C519"/>
      <c r="D519"/>
      <c r="E519"/>
      <c r="F519"/>
      <c r="G519"/>
      <c r="H519"/>
    </row>
    <row r="520" spans="1:8" ht="15" customHeight="1">
      <c r="A520"/>
      <c r="B520"/>
      <c r="C520"/>
      <c r="D520"/>
      <c r="E520"/>
      <c r="F520"/>
      <c r="G520"/>
      <c r="H520"/>
    </row>
    <row r="521" spans="1:8" ht="15" customHeight="1">
      <c r="A521"/>
      <c r="B521"/>
      <c r="C521"/>
      <c r="D521"/>
      <c r="E521"/>
      <c r="F521"/>
      <c r="G521"/>
      <c r="H521"/>
    </row>
    <row r="522" spans="1:8" ht="15" customHeight="1">
      <c r="A522"/>
      <c r="B522"/>
      <c r="C522"/>
      <c r="D522"/>
      <c r="E522"/>
      <c r="F522"/>
      <c r="G522"/>
      <c r="H522"/>
    </row>
    <row r="523" spans="1:8" ht="15" customHeight="1">
      <c r="A523"/>
      <c r="B523"/>
      <c r="C523"/>
      <c r="D523"/>
      <c r="E523"/>
      <c r="F523"/>
      <c r="G523"/>
      <c r="H523"/>
    </row>
    <row r="524" spans="1:8" ht="15" customHeight="1">
      <c r="A524"/>
      <c r="B524"/>
      <c r="C524"/>
      <c r="D524"/>
      <c r="E524"/>
      <c r="F524"/>
      <c r="G524"/>
      <c r="H524"/>
    </row>
    <row r="525" spans="1:8" ht="15" customHeight="1">
      <c r="A525"/>
      <c r="B525"/>
      <c r="C525"/>
      <c r="D525"/>
      <c r="E525"/>
      <c r="F525"/>
      <c r="G525"/>
      <c r="H525"/>
    </row>
    <row r="526" spans="1:8" ht="15" customHeight="1">
      <c r="A526"/>
      <c r="B526"/>
      <c r="C526"/>
      <c r="D526"/>
      <c r="E526"/>
      <c r="F526"/>
      <c r="G526"/>
      <c r="H526"/>
    </row>
    <row r="527" spans="1:8" ht="15" customHeight="1">
      <c r="A527"/>
      <c r="B527"/>
      <c r="C527"/>
      <c r="D527"/>
      <c r="E527"/>
      <c r="F527"/>
      <c r="G527"/>
      <c r="H527"/>
    </row>
    <row r="528" spans="1:8" ht="15" customHeight="1">
      <c r="A528"/>
      <c r="B528"/>
      <c r="C528"/>
      <c r="D528"/>
      <c r="E528"/>
      <c r="F528"/>
      <c r="G528"/>
      <c r="H528"/>
    </row>
    <row r="529" spans="1:8" ht="15" customHeight="1">
      <c r="A529"/>
      <c r="B529"/>
      <c r="C529"/>
      <c r="D529"/>
      <c r="E529"/>
      <c r="F529"/>
      <c r="G529"/>
      <c r="H529"/>
    </row>
    <row r="530" spans="1:8" ht="15" customHeight="1">
      <c r="A530"/>
      <c r="B530"/>
      <c r="C530"/>
      <c r="D530"/>
      <c r="E530"/>
      <c r="F530"/>
      <c r="G530"/>
      <c r="H530"/>
    </row>
    <row r="531" spans="1:8" ht="15" customHeight="1">
      <c r="A531"/>
      <c r="B531"/>
      <c r="C531"/>
      <c r="D531"/>
      <c r="E531"/>
      <c r="F531"/>
      <c r="G531"/>
      <c r="H531"/>
    </row>
    <row r="532" spans="1:8" ht="15" customHeight="1">
      <c r="A532"/>
      <c r="B532"/>
      <c r="C532"/>
      <c r="D532"/>
      <c r="E532"/>
      <c r="F532"/>
      <c r="G532"/>
      <c r="H532"/>
    </row>
    <row r="533" spans="1:8" ht="15" customHeight="1">
      <c r="A533"/>
      <c r="B533"/>
      <c r="C533"/>
      <c r="D533"/>
      <c r="E533"/>
      <c r="F533"/>
      <c r="G533"/>
      <c r="H533"/>
    </row>
    <row r="534" spans="1:8" ht="15" customHeight="1">
      <c r="A534"/>
      <c r="B534"/>
      <c r="C534"/>
      <c r="D534"/>
      <c r="E534"/>
      <c r="F534"/>
      <c r="G534"/>
      <c r="H534"/>
    </row>
    <row r="535" spans="1:8" ht="15" customHeight="1">
      <c r="A535"/>
      <c r="B535"/>
      <c r="C535"/>
      <c r="D535"/>
      <c r="E535"/>
      <c r="F535"/>
      <c r="G535"/>
      <c r="H535"/>
    </row>
    <row r="536" spans="1:8" ht="15" customHeight="1">
      <c r="A536"/>
      <c r="B536"/>
      <c r="C536"/>
      <c r="D536"/>
      <c r="E536"/>
      <c r="F536"/>
      <c r="G536"/>
      <c r="H536"/>
    </row>
    <row r="537" spans="1:8" ht="15" customHeight="1">
      <c r="A537"/>
      <c r="B537"/>
      <c r="C537"/>
      <c r="D537"/>
      <c r="E537"/>
      <c r="F537"/>
      <c r="G537"/>
      <c r="H537"/>
    </row>
    <row r="538" spans="1:8" ht="15" customHeight="1">
      <c r="A538"/>
      <c r="B538"/>
      <c r="C538"/>
      <c r="D538"/>
      <c r="E538"/>
      <c r="F538"/>
      <c r="G538"/>
      <c r="H538"/>
    </row>
    <row r="539" spans="1:8" ht="15" customHeight="1">
      <c r="A539"/>
      <c r="B539"/>
      <c r="C539"/>
      <c r="D539"/>
      <c r="E539"/>
      <c r="F539"/>
      <c r="G539"/>
      <c r="H539"/>
    </row>
    <row r="540" spans="1:8" ht="15" customHeight="1">
      <c r="A540"/>
      <c r="B540"/>
      <c r="C540"/>
      <c r="D540"/>
      <c r="E540"/>
      <c r="F540"/>
      <c r="G540"/>
      <c r="H540"/>
    </row>
    <row r="541" spans="1:8" ht="15" customHeight="1">
      <c r="A541"/>
      <c r="B541"/>
      <c r="C541"/>
      <c r="D541"/>
      <c r="E541"/>
      <c r="F541"/>
      <c r="G541"/>
      <c r="H541"/>
    </row>
    <row r="542" spans="1:8" ht="15" customHeight="1">
      <c r="A542"/>
      <c r="B542"/>
      <c r="C542"/>
      <c r="D542"/>
      <c r="E542"/>
      <c r="F542"/>
      <c r="G542"/>
      <c r="H542"/>
    </row>
    <row r="543" spans="1:8" ht="15" customHeight="1">
      <c r="A543"/>
      <c r="B543"/>
      <c r="C543"/>
      <c r="D543"/>
      <c r="E543"/>
      <c r="F543"/>
      <c r="G543"/>
      <c r="H543"/>
    </row>
    <row r="544" spans="1:8" ht="15" customHeight="1">
      <c r="A544"/>
      <c r="B544"/>
      <c r="C544"/>
      <c r="D544"/>
      <c r="E544"/>
      <c r="F544"/>
      <c r="G544"/>
      <c r="H544"/>
    </row>
    <row r="545" spans="1:8" ht="15" customHeight="1">
      <c r="A545"/>
      <c r="B545"/>
      <c r="C545"/>
      <c r="D545"/>
      <c r="E545"/>
      <c r="F545"/>
      <c r="G545"/>
      <c r="H545"/>
    </row>
    <row r="546" spans="1:8" ht="15" customHeight="1">
      <c r="A546"/>
      <c r="B546"/>
      <c r="C546"/>
      <c r="D546"/>
      <c r="E546"/>
      <c r="F546"/>
      <c r="G546"/>
      <c r="H546"/>
    </row>
    <row r="547" spans="1:8" ht="15" customHeight="1">
      <c r="A547"/>
      <c r="B547"/>
      <c r="C547"/>
      <c r="D547"/>
      <c r="E547"/>
      <c r="F547"/>
      <c r="G547"/>
      <c r="H547"/>
    </row>
    <row r="548" spans="1:8" ht="15" customHeight="1">
      <c r="A548"/>
      <c r="B548"/>
      <c r="C548"/>
      <c r="D548"/>
      <c r="E548"/>
      <c r="F548"/>
      <c r="G548"/>
      <c r="H548"/>
    </row>
    <row r="549" spans="1:8" ht="15" customHeight="1">
      <c r="A549"/>
      <c r="B549"/>
      <c r="C549"/>
      <c r="D549"/>
      <c r="E549"/>
      <c r="F549"/>
      <c r="G549"/>
      <c r="H549"/>
    </row>
    <row r="550" spans="1:8" ht="15" customHeight="1">
      <c r="A550"/>
      <c r="B550"/>
      <c r="C550"/>
      <c r="D550"/>
      <c r="E550"/>
      <c r="F550"/>
      <c r="G550"/>
      <c r="H550"/>
    </row>
    <row r="551" spans="1:8" ht="15" customHeight="1">
      <c r="A551"/>
      <c r="B551"/>
      <c r="C551"/>
      <c r="D551"/>
      <c r="E551"/>
      <c r="F551"/>
      <c r="G551"/>
      <c r="H551"/>
    </row>
    <row r="552" spans="1:8" ht="15" customHeight="1">
      <c r="A552"/>
      <c r="B552"/>
      <c r="C552"/>
      <c r="D552"/>
      <c r="E552"/>
      <c r="F552"/>
      <c r="G552"/>
      <c r="H552"/>
    </row>
    <row r="553" spans="1:8" ht="15" customHeight="1">
      <c r="A553"/>
      <c r="B553"/>
      <c r="C553"/>
      <c r="D553"/>
      <c r="E553"/>
      <c r="F553"/>
      <c r="G553"/>
      <c r="H553"/>
    </row>
    <row r="554" spans="1:8" ht="15" customHeight="1">
      <c r="A554"/>
      <c r="B554"/>
      <c r="C554"/>
      <c r="D554"/>
      <c r="E554"/>
      <c r="F554"/>
      <c r="G554"/>
      <c r="H554"/>
    </row>
    <row r="555" spans="1:8" ht="15" customHeight="1">
      <c r="A555"/>
      <c r="B555"/>
      <c r="C555"/>
      <c r="D555"/>
      <c r="E555"/>
      <c r="F555"/>
      <c r="G555"/>
      <c r="H555"/>
    </row>
    <row r="556" spans="1:8" ht="15" customHeight="1">
      <c r="A556"/>
      <c r="B556"/>
      <c r="C556"/>
      <c r="D556"/>
      <c r="E556"/>
      <c r="F556"/>
      <c r="G556"/>
      <c r="H556"/>
    </row>
    <row r="557" spans="1:8" ht="15" customHeight="1">
      <c r="A557"/>
      <c r="B557"/>
      <c r="C557"/>
      <c r="D557"/>
      <c r="E557"/>
      <c r="F557"/>
      <c r="G557"/>
      <c r="H557"/>
    </row>
    <row r="558" spans="1:8" ht="15" customHeight="1">
      <c r="A558"/>
      <c r="B558"/>
      <c r="C558"/>
      <c r="D558"/>
      <c r="E558"/>
      <c r="F558"/>
      <c r="G558"/>
      <c r="H558"/>
    </row>
    <row r="559" spans="1:8" ht="15" customHeight="1">
      <c r="A559"/>
      <c r="B559"/>
      <c r="C559"/>
      <c r="D559"/>
      <c r="E559"/>
      <c r="F559"/>
      <c r="G559"/>
      <c r="H559"/>
    </row>
    <row r="560" spans="1:8" ht="15" customHeight="1">
      <c r="A560"/>
      <c r="B560"/>
      <c r="C560"/>
      <c r="D560"/>
      <c r="E560"/>
      <c r="F560"/>
      <c r="G560"/>
      <c r="H560"/>
    </row>
    <row r="561" spans="1:8" ht="15" customHeight="1">
      <c r="A561"/>
      <c r="B561"/>
      <c r="C561"/>
      <c r="D561"/>
      <c r="E561"/>
      <c r="F561"/>
      <c r="G561"/>
      <c r="H561"/>
    </row>
    <row r="562" spans="1:8" ht="15" customHeight="1">
      <c r="A562"/>
      <c r="B562"/>
      <c r="C562"/>
      <c r="D562"/>
      <c r="E562"/>
      <c r="F562"/>
      <c r="G562"/>
      <c r="H562"/>
    </row>
    <row r="563" spans="1:8" ht="15" customHeight="1">
      <c r="A563"/>
      <c r="B563"/>
      <c r="C563"/>
      <c r="D563"/>
      <c r="E563"/>
      <c r="F563"/>
      <c r="G563"/>
      <c r="H563"/>
    </row>
    <row r="564" spans="1:8" ht="15" customHeight="1">
      <c r="A564"/>
      <c r="B564"/>
      <c r="C564"/>
      <c r="D564"/>
      <c r="E564"/>
      <c r="F564"/>
      <c r="G564"/>
      <c r="H564"/>
    </row>
    <row r="565" spans="1:8" ht="15" customHeight="1">
      <c r="A565"/>
      <c r="B565"/>
      <c r="C565"/>
      <c r="D565"/>
      <c r="E565"/>
      <c r="F565"/>
      <c r="G565"/>
      <c r="H565"/>
    </row>
    <row r="566" spans="1:8" ht="15" customHeight="1">
      <c r="A566"/>
      <c r="B566"/>
      <c r="C566"/>
      <c r="D566"/>
      <c r="E566"/>
      <c r="F566"/>
      <c r="G566"/>
      <c r="H566"/>
    </row>
    <row r="567" spans="1:8" ht="15" customHeight="1">
      <c r="A567"/>
      <c r="B567"/>
      <c r="C567"/>
      <c r="D567"/>
      <c r="E567"/>
      <c r="F567"/>
      <c r="G567"/>
      <c r="H567"/>
    </row>
    <row r="568" spans="1:8" ht="15" customHeight="1">
      <c r="A568"/>
      <c r="B568"/>
      <c r="C568"/>
      <c r="D568"/>
      <c r="E568"/>
      <c r="F568"/>
      <c r="G568"/>
      <c r="H568"/>
    </row>
    <row r="569" spans="1:8" ht="15" customHeight="1">
      <c r="A569"/>
      <c r="B569"/>
      <c r="C569"/>
      <c r="D569"/>
      <c r="E569"/>
      <c r="F569"/>
      <c r="G569"/>
      <c r="H569"/>
    </row>
    <row r="570" spans="1:8" ht="15" customHeight="1">
      <c r="A570"/>
      <c r="B570"/>
      <c r="C570"/>
      <c r="D570"/>
      <c r="E570"/>
      <c r="F570"/>
      <c r="G570"/>
      <c r="H570"/>
    </row>
    <row r="571" spans="1:8" ht="15" customHeight="1">
      <c r="A571"/>
      <c r="B571"/>
      <c r="C571"/>
      <c r="D571"/>
      <c r="E571"/>
      <c r="F571"/>
      <c r="G571"/>
      <c r="H571"/>
    </row>
    <row r="572" spans="1:8" ht="15" customHeight="1">
      <c r="A572"/>
      <c r="B572"/>
      <c r="C572"/>
      <c r="D572"/>
      <c r="E572"/>
      <c r="F572"/>
      <c r="G572"/>
      <c r="H572"/>
    </row>
    <row r="573" spans="1:8" ht="15" customHeight="1">
      <c r="A573"/>
      <c r="B573"/>
      <c r="C573"/>
      <c r="D573"/>
      <c r="E573"/>
      <c r="F573"/>
      <c r="G573"/>
      <c r="H573"/>
    </row>
    <row r="574" spans="1:8" ht="15" customHeight="1">
      <c r="A574"/>
      <c r="B574"/>
      <c r="C574"/>
      <c r="D574"/>
      <c r="E574"/>
      <c r="F574"/>
      <c r="G574"/>
      <c r="H574"/>
    </row>
    <row r="575" spans="1:8" ht="15" customHeight="1">
      <c r="A575"/>
      <c r="B575"/>
      <c r="C575"/>
      <c r="D575"/>
      <c r="E575"/>
      <c r="F575"/>
      <c r="G575"/>
      <c r="H575"/>
    </row>
    <row r="576" spans="1:8" ht="15" customHeight="1">
      <c r="A576"/>
      <c r="B576"/>
      <c r="C576"/>
      <c r="D576"/>
      <c r="E576"/>
      <c r="F576"/>
      <c r="G576"/>
      <c r="H576"/>
    </row>
    <row r="577" spans="1:8" ht="15" customHeight="1">
      <c r="A577"/>
      <c r="B577"/>
      <c r="C577"/>
      <c r="D577"/>
      <c r="E577"/>
      <c r="F577"/>
      <c r="G577"/>
      <c r="H577"/>
    </row>
    <row r="578" spans="1:8" ht="15" customHeight="1">
      <c r="A578"/>
      <c r="B578"/>
      <c r="C578"/>
      <c r="D578"/>
      <c r="E578"/>
      <c r="F578"/>
      <c r="G578"/>
      <c r="H578"/>
    </row>
    <row r="579" spans="1:8" ht="15" customHeight="1">
      <c r="A579"/>
      <c r="B579"/>
      <c r="C579"/>
      <c r="D579"/>
      <c r="E579"/>
      <c r="F579"/>
      <c r="G579"/>
      <c r="H579"/>
    </row>
    <row r="580" spans="1:8" ht="15" customHeight="1">
      <c r="A580"/>
      <c r="B580"/>
      <c r="C580"/>
      <c r="D580"/>
      <c r="E580"/>
      <c r="F580"/>
      <c r="G580"/>
      <c r="H580"/>
    </row>
    <row r="581" spans="1:8" ht="15" customHeight="1">
      <c r="A581"/>
      <c r="B581"/>
      <c r="C581"/>
      <c r="D581"/>
      <c r="E581"/>
      <c r="F581"/>
      <c r="G581"/>
      <c r="H581"/>
    </row>
    <row r="582" spans="1:8" ht="15" customHeight="1">
      <c r="A582"/>
      <c r="B582"/>
      <c r="C582"/>
      <c r="D582"/>
      <c r="E582"/>
      <c r="F582"/>
      <c r="G582"/>
      <c r="H582"/>
    </row>
    <row r="583" spans="1:8" ht="15" customHeight="1">
      <c r="A583"/>
      <c r="B583"/>
      <c r="C583"/>
      <c r="D583"/>
      <c r="E583"/>
      <c r="F583"/>
      <c r="G583"/>
      <c r="H583"/>
    </row>
    <row r="584" spans="1:8" ht="15" customHeight="1">
      <c r="A584"/>
      <c r="B584"/>
      <c r="C584"/>
      <c r="D584"/>
      <c r="E584"/>
      <c r="F584"/>
      <c r="G584"/>
      <c r="H584"/>
    </row>
    <row r="585" spans="1:8" ht="15" customHeight="1">
      <c r="A585"/>
      <c r="B585"/>
      <c r="C585"/>
      <c r="D585"/>
      <c r="E585"/>
      <c r="F585"/>
      <c r="G585"/>
      <c r="H585"/>
    </row>
    <row r="586" spans="1:8" ht="15" customHeight="1">
      <c r="A586"/>
      <c r="B586"/>
      <c r="C586"/>
      <c r="D586"/>
      <c r="E586"/>
      <c r="F586"/>
      <c r="G586"/>
      <c r="H586"/>
    </row>
    <row r="587" spans="1:8" ht="15" customHeight="1">
      <c r="A587"/>
      <c r="B587"/>
      <c r="C587"/>
      <c r="D587"/>
      <c r="E587"/>
      <c r="F587"/>
      <c r="G587"/>
      <c r="H587"/>
    </row>
    <row r="588" spans="1:8" ht="15" customHeight="1">
      <c r="A588"/>
      <c r="B588"/>
      <c r="C588"/>
      <c r="D588"/>
      <c r="E588"/>
      <c r="F588"/>
      <c r="G588"/>
      <c r="H588"/>
    </row>
    <row r="589" spans="1:8" ht="15" customHeight="1">
      <c r="A589"/>
      <c r="B589"/>
      <c r="C589"/>
      <c r="D589"/>
      <c r="E589"/>
      <c r="F589"/>
      <c r="G589"/>
      <c r="H589"/>
    </row>
    <row r="590" spans="1:8" ht="15" customHeight="1">
      <c r="A590"/>
      <c r="B590"/>
      <c r="C590"/>
      <c r="D590"/>
      <c r="E590"/>
      <c r="F590"/>
      <c r="G590"/>
      <c r="H590"/>
    </row>
    <row r="591" spans="1:8" ht="15" customHeight="1">
      <c r="A591"/>
      <c r="B591"/>
      <c r="C591"/>
      <c r="D591"/>
      <c r="E591"/>
      <c r="F591"/>
      <c r="G591"/>
      <c r="H591"/>
    </row>
    <row r="592" spans="1:8" ht="15" customHeight="1">
      <c r="A592"/>
      <c r="B592"/>
      <c r="C592"/>
      <c r="D592"/>
      <c r="E592"/>
      <c r="F592"/>
      <c r="G592"/>
      <c r="H592"/>
    </row>
    <row r="593" spans="1:8" ht="15" customHeight="1">
      <c r="A593"/>
      <c r="B593"/>
      <c r="C593"/>
      <c r="D593"/>
      <c r="E593"/>
      <c r="F593"/>
      <c r="G593"/>
      <c r="H593"/>
    </row>
    <row r="594" spans="1:8" ht="15" customHeight="1">
      <c r="A594"/>
      <c r="B594"/>
      <c r="C594"/>
      <c r="D594"/>
      <c r="E594"/>
      <c r="F594"/>
      <c r="G594"/>
      <c r="H594"/>
    </row>
    <row r="595" spans="1:8" ht="15" customHeight="1">
      <c r="A595"/>
      <c r="B595"/>
      <c r="C595"/>
      <c r="D595"/>
      <c r="E595"/>
      <c r="F595"/>
      <c r="G595"/>
      <c r="H595"/>
    </row>
    <row r="596" spans="1:8" ht="15" customHeight="1">
      <c r="A596"/>
      <c r="B596"/>
      <c r="C596"/>
      <c r="D596"/>
      <c r="E596"/>
      <c r="F596"/>
      <c r="G596"/>
      <c r="H596"/>
    </row>
    <row r="597" spans="1:8" ht="15" customHeight="1">
      <c r="A597"/>
      <c r="B597"/>
      <c r="C597"/>
      <c r="D597"/>
      <c r="E597"/>
      <c r="F597"/>
      <c r="G597"/>
      <c r="H597"/>
    </row>
    <row r="598" spans="1:8" ht="15" customHeight="1">
      <c r="A598"/>
      <c r="B598"/>
      <c r="C598"/>
      <c r="D598"/>
      <c r="E598"/>
      <c r="F598"/>
      <c r="G598"/>
      <c r="H598"/>
    </row>
    <row r="599" spans="1:8" ht="15" customHeight="1">
      <c r="A599"/>
      <c r="B599"/>
      <c r="C599"/>
      <c r="D599"/>
      <c r="E599"/>
      <c r="F599"/>
      <c r="G599"/>
      <c r="H599"/>
    </row>
    <row r="600" spans="1:8" ht="15" customHeight="1">
      <c r="A600"/>
      <c r="B600"/>
      <c r="C600"/>
      <c r="D600"/>
      <c r="E600"/>
      <c r="F600"/>
      <c r="G600"/>
      <c r="H600"/>
    </row>
    <row r="601" spans="1:8" ht="15" customHeight="1">
      <c r="A601"/>
      <c r="B601"/>
      <c r="C601"/>
      <c r="D601"/>
      <c r="E601"/>
      <c r="F601"/>
      <c r="G601"/>
      <c r="H601"/>
    </row>
    <row r="602" spans="1:8" ht="15" customHeight="1">
      <c r="A602"/>
      <c r="B602"/>
      <c r="C602"/>
      <c r="D602"/>
      <c r="E602"/>
      <c r="F602"/>
      <c r="G602"/>
      <c r="H602"/>
    </row>
    <row r="603" spans="1:8" ht="15" customHeight="1">
      <c r="A603"/>
      <c r="B603"/>
      <c r="C603"/>
      <c r="D603"/>
      <c r="E603"/>
      <c r="F603"/>
      <c r="G603"/>
      <c r="H603"/>
    </row>
    <row r="604" spans="1:8" ht="15" customHeight="1">
      <c r="A604"/>
      <c r="B604"/>
      <c r="C604"/>
      <c r="D604"/>
      <c r="E604"/>
      <c r="F604"/>
      <c r="G604"/>
      <c r="H604"/>
    </row>
    <row r="605" spans="1:8" ht="15" customHeight="1">
      <c r="A605"/>
      <c r="B605"/>
      <c r="C605"/>
      <c r="D605"/>
      <c r="E605"/>
      <c r="F605"/>
      <c r="G605"/>
      <c r="H605"/>
    </row>
    <row r="606" spans="1:8" ht="15" customHeight="1">
      <c r="A606"/>
      <c r="B606"/>
      <c r="C606"/>
      <c r="D606"/>
      <c r="E606"/>
      <c r="F606"/>
      <c r="G606"/>
      <c r="H606"/>
    </row>
    <row r="607" spans="1:8" ht="15" customHeight="1">
      <c r="A607"/>
      <c r="B607"/>
      <c r="C607"/>
      <c r="D607"/>
      <c r="E607"/>
      <c r="F607"/>
      <c r="G607"/>
      <c r="H607"/>
    </row>
    <row r="608" spans="1:8" ht="15" customHeight="1">
      <c r="A608"/>
      <c r="B608"/>
      <c r="C608"/>
      <c r="D608"/>
      <c r="E608"/>
      <c r="F608"/>
      <c r="G608"/>
      <c r="H608"/>
    </row>
    <row r="609" spans="1:8" ht="15" customHeight="1">
      <c r="A609"/>
      <c r="B609"/>
      <c r="C609"/>
      <c r="D609"/>
      <c r="E609"/>
      <c r="F609"/>
      <c r="G609"/>
      <c r="H609"/>
    </row>
    <row r="610" spans="1:8" ht="15" customHeight="1">
      <c r="A610"/>
      <c r="B610"/>
      <c r="C610"/>
      <c r="D610"/>
      <c r="E610"/>
      <c r="F610"/>
      <c r="G610"/>
      <c r="H610"/>
    </row>
    <row r="611" spans="1:8" ht="15" customHeight="1">
      <c r="A611"/>
      <c r="B611"/>
      <c r="C611"/>
      <c r="D611"/>
      <c r="E611"/>
      <c r="F611"/>
      <c r="G611"/>
      <c r="H611"/>
    </row>
    <row r="612" spans="1:8" ht="15" customHeight="1">
      <c r="A612"/>
      <c r="B612"/>
      <c r="C612"/>
      <c r="D612"/>
      <c r="E612"/>
      <c r="F612"/>
      <c r="G612"/>
      <c r="H612"/>
    </row>
    <row r="613" spans="1:8" ht="15" customHeight="1">
      <c r="A613"/>
      <c r="B613"/>
      <c r="C613"/>
      <c r="D613"/>
      <c r="E613"/>
      <c r="F613"/>
      <c r="G613"/>
      <c r="H613"/>
    </row>
    <row r="614" spans="1:8" ht="15" customHeight="1">
      <c r="A614"/>
      <c r="B614"/>
      <c r="C614"/>
      <c r="D614"/>
      <c r="E614"/>
      <c r="F614"/>
      <c r="G614"/>
      <c r="H614"/>
    </row>
    <row r="615" spans="1:8" ht="15" customHeight="1">
      <c r="A615"/>
      <c r="B615"/>
      <c r="C615"/>
      <c r="D615"/>
      <c r="E615"/>
      <c r="F615"/>
      <c r="G615"/>
      <c r="H615"/>
    </row>
    <row r="616" spans="1:8" ht="15" customHeight="1">
      <c r="A616"/>
      <c r="B616"/>
      <c r="C616"/>
      <c r="D616"/>
      <c r="E616"/>
      <c r="F616"/>
      <c r="G616"/>
      <c r="H616"/>
    </row>
    <row r="617" spans="1:8" ht="15" customHeight="1">
      <c r="A617"/>
      <c r="B617"/>
      <c r="C617"/>
      <c r="D617"/>
      <c r="E617"/>
      <c r="F617"/>
      <c r="G617"/>
      <c r="H617"/>
    </row>
    <row r="618" spans="1:8" ht="15" customHeight="1">
      <c r="A618"/>
      <c r="B618"/>
      <c r="C618"/>
      <c r="D618"/>
      <c r="E618"/>
      <c r="F618"/>
      <c r="G618"/>
      <c r="H618"/>
    </row>
    <row r="619" spans="1:8" ht="15" customHeight="1">
      <c r="A619"/>
      <c r="B619"/>
      <c r="C619"/>
      <c r="D619"/>
      <c r="E619"/>
      <c r="F619"/>
      <c r="G619"/>
      <c r="H619"/>
    </row>
    <row r="620" spans="1:8" ht="15" customHeight="1">
      <c r="A620"/>
      <c r="B620"/>
      <c r="C620"/>
      <c r="D620"/>
      <c r="E620"/>
      <c r="F620"/>
      <c r="G620"/>
      <c r="H620"/>
    </row>
    <row r="621" spans="1:8" ht="15" customHeight="1">
      <c r="A621"/>
      <c r="B621"/>
      <c r="C621"/>
      <c r="D621"/>
      <c r="E621"/>
      <c r="F621"/>
      <c r="G621"/>
      <c r="H621"/>
    </row>
    <row r="622" spans="1:8" ht="15" customHeight="1">
      <c r="A622"/>
      <c r="B622"/>
      <c r="C622"/>
      <c r="D622"/>
      <c r="E622"/>
      <c r="F622"/>
      <c r="G622"/>
      <c r="H622"/>
    </row>
    <row r="623" spans="1:8" ht="15" customHeight="1">
      <c r="A623"/>
      <c r="B623"/>
      <c r="C623"/>
      <c r="D623"/>
      <c r="E623"/>
      <c r="F623"/>
      <c r="G623"/>
      <c r="H623"/>
    </row>
    <row r="624" spans="1:8" ht="15" customHeight="1">
      <c r="A624"/>
      <c r="B624"/>
      <c r="C624"/>
      <c r="D624"/>
      <c r="E624"/>
      <c r="F624"/>
      <c r="G624"/>
      <c r="H624"/>
    </row>
    <row r="625" spans="1:8" ht="15" customHeight="1">
      <c r="A625"/>
      <c r="B625"/>
      <c r="C625"/>
      <c r="D625"/>
      <c r="E625"/>
      <c r="F625"/>
      <c r="G625"/>
      <c r="H625"/>
    </row>
    <row r="626" spans="1:8" ht="15" customHeight="1">
      <c r="A626"/>
      <c r="B626"/>
      <c r="C626"/>
      <c r="D626"/>
      <c r="E626"/>
      <c r="F626"/>
      <c r="G626"/>
      <c r="H626"/>
    </row>
    <row r="627" spans="1:8" ht="15" customHeight="1">
      <c r="A627"/>
      <c r="B627"/>
      <c r="C627"/>
      <c r="D627"/>
      <c r="E627"/>
      <c r="F627"/>
      <c r="G627"/>
      <c r="H627"/>
    </row>
    <row r="628" spans="1:8" ht="15" customHeight="1">
      <c r="A628"/>
      <c r="B628"/>
      <c r="C628"/>
      <c r="D628"/>
      <c r="E628"/>
      <c r="F628"/>
      <c r="G628"/>
      <c r="H628"/>
    </row>
    <row r="629" spans="1:8" ht="15" customHeight="1">
      <c r="A629"/>
      <c r="B629"/>
      <c r="C629"/>
      <c r="D629"/>
      <c r="E629"/>
      <c r="F629"/>
      <c r="G629"/>
      <c r="H629"/>
    </row>
    <row r="630" spans="1:8" ht="15" customHeight="1">
      <c r="A630"/>
      <c r="B630"/>
      <c r="C630"/>
      <c r="D630"/>
      <c r="E630"/>
      <c r="F630"/>
      <c r="G630"/>
      <c r="H630"/>
    </row>
    <row r="631" spans="1:8" ht="15" customHeight="1">
      <c r="A631"/>
      <c r="B631"/>
      <c r="C631"/>
      <c r="D631"/>
      <c r="E631"/>
      <c r="F631"/>
      <c r="G631"/>
      <c r="H631"/>
    </row>
    <row r="632" spans="1:8" ht="15" customHeight="1">
      <c r="A632"/>
      <c r="B632"/>
      <c r="C632"/>
      <c r="D632"/>
      <c r="E632"/>
      <c r="F632"/>
      <c r="G632"/>
      <c r="H632"/>
    </row>
    <row r="633" spans="1:8" ht="15" customHeight="1">
      <c r="A633"/>
      <c r="B633"/>
      <c r="C633"/>
      <c r="D633"/>
      <c r="E633"/>
      <c r="F633"/>
      <c r="G633"/>
      <c r="H633"/>
    </row>
    <row r="634" spans="1:8" ht="15" customHeight="1">
      <c r="A634"/>
      <c r="B634"/>
      <c r="C634"/>
      <c r="D634"/>
      <c r="E634"/>
      <c r="F634"/>
      <c r="G634"/>
      <c r="H634"/>
    </row>
    <row r="635" spans="1:8" ht="15" customHeight="1">
      <c r="A635"/>
      <c r="B635"/>
      <c r="C635"/>
      <c r="D635"/>
      <c r="E635"/>
      <c r="F635"/>
      <c r="G635"/>
      <c r="H635"/>
    </row>
    <row r="636" spans="1:8" ht="15" customHeight="1">
      <c r="A636"/>
      <c r="B636"/>
      <c r="C636"/>
      <c r="D636"/>
      <c r="E636"/>
      <c r="F636"/>
      <c r="G636"/>
      <c r="H636"/>
    </row>
    <row r="637" spans="1:8" ht="15" customHeight="1">
      <c r="A637"/>
      <c r="B637"/>
      <c r="C637"/>
      <c r="D637"/>
      <c r="E637"/>
      <c r="F637"/>
      <c r="G637"/>
      <c r="H637"/>
    </row>
    <row r="638" spans="1:8" ht="15" customHeight="1">
      <c r="A638"/>
      <c r="B638"/>
      <c r="C638"/>
      <c r="D638"/>
      <c r="E638"/>
      <c r="F638"/>
      <c r="G638"/>
      <c r="H638"/>
    </row>
    <row r="639" spans="1:8" ht="15" customHeight="1">
      <c r="A639"/>
      <c r="B639"/>
      <c r="C639"/>
      <c r="D639"/>
      <c r="E639"/>
      <c r="F639"/>
      <c r="G639"/>
      <c r="H639"/>
    </row>
    <row r="640" spans="1:8" ht="15" customHeight="1">
      <c r="A640"/>
      <c r="B640"/>
      <c r="C640"/>
      <c r="D640"/>
      <c r="E640"/>
      <c r="F640"/>
      <c r="G640"/>
      <c r="H640"/>
    </row>
    <row r="641" spans="1:8" ht="15" customHeight="1">
      <c r="A641"/>
      <c r="B641"/>
      <c r="C641"/>
      <c r="D641"/>
      <c r="E641"/>
      <c r="F641"/>
      <c r="G641"/>
      <c r="H641"/>
    </row>
    <row r="642" spans="1:8" ht="15" customHeight="1">
      <c r="A642"/>
      <c r="B642"/>
      <c r="C642"/>
      <c r="D642"/>
      <c r="E642"/>
      <c r="F642"/>
      <c r="G642"/>
      <c r="H642"/>
    </row>
    <row r="643" spans="1:8" ht="15" customHeight="1">
      <c r="A643"/>
      <c r="B643"/>
      <c r="C643"/>
      <c r="D643"/>
      <c r="E643"/>
      <c r="F643"/>
      <c r="G643"/>
      <c r="H643"/>
    </row>
    <row r="644" spans="1:8" ht="15" customHeight="1">
      <c r="A644"/>
      <c r="B644"/>
      <c r="C644"/>
      <c r="D644"/>
      <c r="E644"/>
      <c r="F644"/>
      <c r="G644"/>
      <c r="H644"/>
    </row>
    <row r="645" spans="1:8" ht="15" customHeight="1">
      <c r="A645"/>
      <c r="B645"/>
      <c r="C645"/>
      <c r="D645"/>
      <c r="E645"/>
      <c r="F645"/>
      <c r="G645"/>
      <c r="H645"/>
    </row>
    <row r="646" spans="1:8" ht="15" customHeight="1">
      <c r="A646"/>
      <c r="B646"/>
      <c r="C646"/>
      <c r="D646"/>
      <c r="E646"/>
      <c r="F646"/>
      <c r="G646"/>
      <c r="H646"/>
    </row>
    <row r="647" spans="1:8" ht="15" customHeight="1">
      <c r="A647"/>
      <c r="B647"/>
      <c r="C647"/>
      <c r="D647"/>
      <c r="E647"/>
      <c r="F647"/>
      <c r="G647"/>
      <c r="H647"/>
    </row>
    <row r="648" spans="1:8" ht="15" customHeight="1">
      <c r="A648"/>
      <c r="B648"/>
      <c r="C648"/>
      <c r="D648"/>
      <c r="E648"/>
      <c r="F648"/>
      <c r="G648"/>
      <c r="H648"/>
    </row>
    <row r="649" spans="1:8" ht="15" customHeight="1">
      <c r="A649"/>
      <c r="B649"/>
      <c r="C649"/>
      <c r="D649"/>
      <c r="E649"/>
      <c r="F649"/>
      <c r="G649"/>
      <c r="H649"/>
    </row>
    <row r="650" spans="1:8" ht="15" customHeight="1">
      <c r="A650"/>
      <c r="B650"/>
      <c r="C650"/>
      <c r="D650"/>
      <c r="E650"/>
      <c r="F650"/>
      <c r="G650"/>
      <c r="H650"/>
    </row>
    <row r="651" spans="1:8" ht="15" customHeight="1">
      <c r="A651"/>
      <c r="B651"/>
      <c r="C651"/>
      <c r="D651"/>
      <c r="E651"/>
      <c r="F651"/>
      <c r="G651"/>
      <c r="H651"/>
    </row>
    <row r="652" spans="1:8" ht="15" customHeight="1">
      <c r="A652"/>
      <c r="B652"/>
      <c r="C652"/>
      <c r="D652"/>
      <c r="E652"/>
      <c r="F652"/>
      <c r="G652"/>
      <c r="H652"/>
    </row>
    <row r="653" spans="1:8" ht="15" customHeight="1">
      <c r="A653"/>
      <c r="B653"/>
      <c r="C653"/>
      <c r="D653"/>
      <c r="E653"/>
      <c r="F653"/>
      <c r="G653"/>
      <c r="H653"/>
    </row>
    <row r="654" spans="1:8" ht="15" customHeight="1">
      <c r="A654"/>
      <c r="B654"/>
      <c r="C654"/>
      <c r="D654"/>
      <c r="E654"/>
      <c r="F654"/>
      <c r="G654"/>
      <c r="H654"/>
    </row>
    <row r="655" spans="1:8" ht="15" customHeight="1">
      <c r="A655"/>
      <c r="B655"/>
      <c r="C655"/>
      <c r="D655"/>
      <c r="E655"/>
      <c r="F655"/>
      <c r="G655"/>
      <c r="H655"/>
    </row>
    <row r="656" spans="1:8" ht="15" customHeight="1">
      <c r="A656"/>
      <c r="B656"/>
      <c r="C656"/>
      <c r="D656"/>
      <c r="E656"/>
      <c r="F656"/>
      <c r="G656"/>
      <c r="H656"/>
    </row>
    <row r="657" spans="1:8" ht="15" customHeight="1">
      <c r="A657"/>
      <c r="B657"/>
      <c r="C657"/>
      <c r="D657"/>
      <c r="E657"/>
      <c r="F657"/>
      <c r="G657"/>
      <c r="H657"/>
    </row>
    <row r="658" spans="1:8" ht="15" customHeight="1">
      <c r="A658"/>
      <c r="B658"/>
      <c r="C658"/>
      <c r="D658"/>
      <c r="E658"/>
      <c r="F658"/>
      <c r="G658"/>
      <c r="H658"/>
    </row>
    <row r="659" spans="1:8" ht="15" customHeight="1">
      <c r="A659"/>
      <c r="B659"/>
      <c r="C659"/>
      <c r="D659"/>
      <c r="E659"/>
      <c r="F659"/>
      <c r="G659"/>
      <c r="H659"/>
    </row>
    <row r="660" spans="1:8" ht="15" customHeight="1">
      <c r="A660"/>
      <c r="B660"/>
      <c r="C660"/>
      <c r="D660"/>
      <c r="E660"/>
      <c r="F660"/>
      <c r="G660"/>
      <c r="H660"/>
    </row>
    <row r="661" spans="1:8" ht="15" customHeight="1">
      <c r="A661"/>
      <c r="B661"/>
      <c r="C661"/>
      <c r="D661"/>
      <c r="E661"/>
      <c r="F661"/>
      <c r="G661"/>
      <c r="H661"/>
    </row>
    <row r="662" spans="1:8" ht="15" customHeight="1">
      <c r="A662"/>
      <c r="B662"/>
      <c r="C662"/>
      <c r="D662"/>
      <c r="E662"/>
      <c r="F662"/>
      <c r="G662"/>
      <c r="H662"/>
    </row>
    <row r="663" spans="1:8" ht="15" customHeight="1">
      <c r="A663"/>
      <c r="B663"/>
      <c r="C663"/>
      <c r="D663"/>
      <c r="E663"/>
      <c r="F663"/>
      <c r="G663"/>
      <c r="H663"/>
    </row>
    <row r="664" spans="1:8" ht="15" customHeight="1">
      <c r="A664"/>
      <c r="B664"/>
      <c r="C664"/>
      <c r="D664"/>
      <c r="E664"/>
      <c r="F664"/>
      <c r="G664"/>
      <c r="H664"/>
    </row>
    <row r="665" spans="1:8" ht="15" customHeight="1">
      <c r="A665"/>
      <c r="B665"/>
      <c r="C665"/>
      <c r="D665"/>
      <c r="E665"/>
      <c r="F665"/>
      <c r="G665"/>
      <c r="H665"/>
    </row>
    <row r="666" spans="1:8" ht="15" customHeight="1">
      <c r="A666"/>
      <c r="B666"/>
      <c r="C666"/>
      <c r="D666"/>
      <c r="E666"/>
      <c r="F666"/>
      <c r="G666"/>
      <c r="H666"/>
    </row>
    <row r="667" spans="1:8" ht="15" customHeight="1">
      <c r="A667"/>
      <c r="B667"/>
      <c r="C667"/>
      <c r="D667"/>
      <c r="E667"/>
      <c r="F667"/>
      <c r="G667"/>
      <c r="H667"/>
    </row>
    <row r="668" spans="1:8" ht="15" customHeight="1">
      <c r="A668"/>
      <c r="B668"/>
      <c r="C668"/>
      <c r="D668"/>
      <c r="E668"/>
      <c r="F668"/>
      <c r="G668"/>
      <c r="H668"/>
    </row>
    <row r="669" spans="1:8" ht="15" customHeight="1">
      <c r="A669"/>
      <c r="B669"/>
      <c r="C669"/>
      <c r="D669"/>
      <c r="E669"/>
      <c r="F669"/>
      <c r="G669"/>
      <c r="H669"/>
    </row>
    <row r="670" spans="1:8" ht="15" customHeight="1">
      <c r="A670"/>
      <c r="B670"/>
      <c r="C670"/>
      <c r="D670"/>
      <c r="E670"/>
      <c r="F670"/>
      <c r="G670"/>
      <c r="H670"/>
    </row>
    <row r="671" spans="1:8" ht="15" customHeight="1">
      <c r="A671"/>
      <c r="B671"/>
      <c r="C671"/>
      <c r="D671"/>
      <c r="E671"/>
      <c r="F671"/>
      <c r="G671"/>
      <c r="H671"/>
    </row>
    <row r="672" spans="1:8" ht="15" customHeight="1">
      <c r="A672"/>
      <c r="B672"/>
      <c r="C672"/>
      <c r="D672"/>
      <c r="E672"/>
      <c r="F672"/>
      <c r="G672"/>
      <c r="H672"/>
    </row>
    <row r="673" spans="1:8" ht="15" customHeight="1">
      <c r="A673"/>
      <c r="B673"/>
      <c r="C673"/>
      <c r="D673"/>
      <c r="E673"/>
      <c r="F673"/>
      <c r="G673"/>
      <c r="H673"/>
    </row>
    <row r="674" spans="1:8" ht="15" customHeight="1">
      <c r="A674"/>
      <c r="B674"/>
      <c r="C674"/>
      <c r="D674"/>
      <c r="E674"/>
      <c r="F674"/>
      <c r="G674"/>
      <c r="H674"/>
    </row>
    <row r="675" spans="1:8" ht="15" customHeight="1">
      <c r="A675"/>
      <c r="B675"/>
      <c r="C675"/>
      <c r="D675"/>
      <c r="E675"/>
      <c r="F675"/>
      <c r="G675"/>
      <c r="H675"/>
    </row>
    <row r="676" spans="1:8" ht="15" customHeight="1">
      <c r="A676"/>
      <c r="B676"/>
      <c r="C676"/>
      <c r="D676"/>
      <c r="E676"/>
      <c r="F676"/>
      <c r="G676"/>
      <c r="H676"/>
    </row>
    <row r="677" spans="1:8" ht="15" customHeight="1">
      <c r="A677"/>
      <c r="B677"/>
      <c r="C677"/>
      <c r="D677"/>
      <c r="E677"/>
      <c r="F677"/>
      <c r="G677"/>
      <c r="H677"/>
    </row>
    <row r="678" spans="1:8" ht="15" customHeight="1">
      <c r="A678"/>
      <c r="B678"/>
      <c r="C678"/>
      <c r="D678"/>
      <c r="E678"/>
      <c r="F678"/>
      <c r="G678"/>
      <c r="H678"/>
    </row>
    <row r="679" spans="1:8" ht="15" customHeight="1">
      <c r="A679"/>
      <c r="B679"/>
      <c r="C679"/>
      <c r="D679"/>
      <c r="E679"/>
      <c r="F679"/>
      <c r="G679"/>
      <c r="H679"/>
    </row>
    <row r="680" spans="1:8" ht="15" customHeight="1">
      <c r="A680"/>
      <c r="B680"/>
      <c r="C680"/>
      <c r="D680"/>
      <c r="E680"/>
      <c r="F680"/>
      <c r="G680"/>
      <c r="H680"/>
    </row>
    <row r="681" spans="1:8" ht="15" customHeight="1">
      <c r="A681"/>
      <c r="B681"/>
      <c r="C681"/>
      <c r="D681"/>
      <c r="E681"/>
      <c r="F681"/>
      <c r="G681"/>
      <c r="H681"/>
    </row>
    <row r="682" spans="1:8" ht="15" customHeight="1">
      <c r="A682"/>
      <c r="B682"/>
      <c r="C682"/>
      <c r="D682"/>
      <c r="E682"/>
      <c r="F682"/>
      <c r="G682"/>
      <c r="H682"/>
    </row>
    <row r="683" spans="1:8" ht="15" customHeight="1">
      <c r="A683"/>
      <c r="B683"/>
      <c r="C683"/>
      <c r="D683"/>
      <c r="E683"/>
      <c r="F683"/>
      <c r="G683"/>
      <c r="H683"/>
    </row>
    <row r="684" spans="1:8" ht="15" customHeight="1">
      <c r="A684"/>
      <c r="B684"/>
      <c r="C684"/>
      <c r="D684"/>
      <c r="E684"/>
      <c r="F684"/>
      <c r="G684"/>
      <c r="H684"/>
    </row>
    <row r="685" spans="1:8" ht="15" customHeight="1">
      <c r="A685"/>
      <c r="B685"/>
      <c r="C685"/>
      <c r="D685"/>
      <c r="E685"/>
      <c r="F685"/>
      <c r="G685"/>
      <c r="H685"/>
    </row>
    <row r="686" spans="1:8" ht="15" customHeight="1">
      <c r="A686"/>
      <c r="B686"/>
      <c r="C686"/>
      <c r="D686"/>
      <c r="E686"/>
      <c r="F686"/>
      <c r="G686"/>
      <c r="H686"/>
    </row>
    <row r="687" spans="1:8" ht="15" customHeight="1">
      <c r="A687"/>
      <c r="B687"/>
      <c r="C687"/>
      <c r="D687"/>
      <c r="E687"/>
      <c r="F687"/>
      <c r="G687"/>
      <c r="H687"/>
    </row>
    <row r="688" spans="1:8" ht="15" customHeight="1">
      <c r="A688"/>
      <c r="B688"/>
      <c r="C688"/>
      <c r="D688"/>
      <c r="E688"/>
      <c r="F688"/>
      <c r="G688"/>
      <c r="H688"/>
    </row>
    <row r="689" spans="1:8" ht="15" customHeight="1">
      <c r="A689"/>
      <c r="B689"/>
      <c r="C689"/>
      <c r="D689"/>
      <c r="E689"/>
      <c r="F689"/>
      <c r="G689"/>
      <c r="H689"/>
    </row>
    <row r="690" spans="1:8" ht="15" customHeight="1">
      <c r="A690"/>
      <c r="B690"/>
      <c r="C690"/>
      <c r="D690"/>
      <c r="E690"/>
      <c r="F690"/>
      <c r="G690"/>
      <c r="H690"/>
    </row>
    <row r="691" spans="1:8" ht="15" customHeight="1">
      <c r="A691"/>
      <c r="B691"/>
      <c r="C691"/>
      <c r="D691"/>
      <c r="E691"/>
      <c r="F691"/>
      <c r="G691"/>
      <c r="H691"/>
    </row>
    <row r="692" spans="1:8" ht="15" customHeight="1">
      <c r="A692"/>
      <c r="B692"/>
      <c r="C692"/>
      <c r="D692"/>
      <c r="E692"/>
      <c r="F692"/>
      <c r="G692"/>
      <c r="H692"/>
    </row>
    <row r="693" spans="1:8" ht="15" customHeight="1">
      <c r="A693"/>
      <c r="B693"/>
      <c r="C693"/>
      <c r="D693"/>
      <c r="E693"/>
      <c r="F693"/>
      <c r="G693"/>
      <c r="H693"/>
    </row>
    <row r="694" spans="1:8" ht="15" customHeight="1">
      <c r="A694"/>
      <c r="B694"/>
      <c r="C694"/>
      <c r="D694"/>
      <c r="E694"/>
      <c r="F694"/>
      <c r="G694"/>
      <c r="H694"/>
    </row>
    <row r="695" spans="1:8" ht="15" customHeight="1">
      <c r="A695"/>
      <c r="B695"/>
      <c r="C695"/>
      <c r="D695"/>
      <c r="E695"/>
      <c r="F695"/>
      <c r="G695"/>
      <c r="H695"/>
    </row>
    <row r="696" spans="1:8" ht="15" customHeight="1">
      <c r="A696"/>
      <c r="B696"/>
      <c r="C696"/>
      <c r="D696"/>
      <c r="E696"/>
      <c r="F696"/>
      <c r="G696"/>
      <c r="H696"/>
    </row>
    <row r="697" spans="1:8" ht="15" customHeight="1">
      <c r="A697"/>
      <c r="B697"/>
      <c r="C697"/>
      <c r="D697"/>
      <c r="E697"/>
      <c r="F697"/>
      <c r="G697"/>
      <c r="H697"/>
    </row>
    <row r="698" spans="1:8" ht="15" customHeight="1">
      <c r="A698"/>
      <c r="B698"/>
      <c r="C698"/>
      <c r="D698"/>
      <c r="E698"/>
      <c r="F698"/>
      <c r="G698"/>
      <c r="H698"/>
    </row>
    <row r="699" spans="1:8" ht="15" customHeight="1">
      <c r="A699"/>
      <c r="B699"/>
      <c r="C699"/>
      <c r="D699"/>
      <c r="E699"/>
      <c r="F699"/>
      <c r="G699"/>
      <c r="H699"/>
    </row>
    <row r="700" spans="1:8" ht="15" customHeight="1">
      <c r="A700"/>
      <c r="B700"/>
      <c r="C700"/>
      <c r="D700"/>
      <c r="E700"/>
      <c r="F700"/>
      <c r="G700"/>
      <c r="H700"/>
    </row>
    <row r="701" spans="1:8" ht="15" customHeight="1">
      <c r="A701"/>
      <c r="B701"/>
      <c r="C701"/>
      <c r="D701"/>
      <c r="E701"/>
      <c r="F701"/>
      <c r="G701"/>
      <c r="H701"/>
    </row>
    <row r="702" spans="1:8" ht="15" customHeight="1">
      <c r="A702"/>
      <c r="B702"/>
      <c r="C702"/>
      <c r="D702"/>
      <c r="E702"/>
      <c r="F702"/>
      <c r="G702"/>
      <c r="H702"/>
    </row>
    <row r="703" spans="1:8" ht="15" customHeight="1">
      <c r="A703"/>
      <c r="B703"/>
      <c r="C703"/>
      <c r="D703"/>
      <c r="E703"/>
      <c r="F703"/>
      <c r="G703"/>
      <c r="H703"/>
    </row>
    <row r="704" spans="1:8" ht="15" customHeight="1">
      <c r="A704"/>
      <c r="B704"/>
      <c r="C704"/>
      <c r="D704"/>
      <c r="E704"/>
      <c r="F704"/>
      <c r="G704"/>
      <c r="H704"/>
    </row>
    <row r="705" spans="1:8" ht="15" customHeight="1">
      <c r="A705"/>
      <c r="B705"/>
      <c r="C705"/>
      <c r="D705"/>
      <c r="E705"/>
      <c r="F705"/>
      <c r="G705"/>
      <c r="H705"/>
    </row>
    <row r="706" spans="1:8" ht="15" customHeight="1">
      <c r="A706"/>
      <c r="B706"/>
      <c r="C706"/>
      <c r="D706"/>
      <c r="E706"/>
      <c r="F706"/>
      <c r="G706"/>
      <c r="H706"/>
    </row>
    <row r="707" spans="1:8" ht="15" customHeight="1">
      <c r="A707"/>
      <c r="B707"/>
      <c r="C707"/>
      <c r="D707"/>
      <c r="E707"/>
      <c r="F707"/>
      <c r="G707"/>
      <c r="H707"/>
    </row>
    <row r="708" spans="1:8" ht="15" customHeight="1">
      <c r="A708"/>
      <c r="B708"/>
      <c r="C708"/>
      <c r="D708"/>
      <c r="E708"/>
      <c r="F708"/>
      <c r="G708"/>
      <c r="H708"/>
    </row>
    <row r="709" spans="1:8" ht="15" customHeight="1">
      <c r="A709"/>
      <c r="B709"/>
      <c r="C709"/>
      <c r="D709"/>
      <c r="E709"/>
      <c r="F709"/>
      <c r="G709"/>
      <c r="H709"/>
    </row>
    <row r="710" spans="1:8" ht="15" customHeight="1">
      <c r="A710"/>
      <c r="B710"/>
      <c r="C710"/>
      <c r="D710"/>
      <c r="E710"/>
      <c r="F710"/>
      <c r="G710"/>
      <c r="H710"/>
    </row>
    <row r="711" spans="1:8" ht="15" customHeight="1">
      <c r="A711"/>
      <c r="B711"/>
      <c r="C711"/>
      <c r="D711"/>
      <c r="E711"/>
      <c r="F711"/>
      <c r="G711"/>
      <c r="H711"/>
    </row>
    <row r="712" spans="1:8" ht="15" customHeight="1">
      <c r="A712"/>
      <c r="B712"/>
      <c r="C712"/>
      <c r="D712"/>
      <c r="E712"/>
      <c r="F712"/>
      <c r="G712"/>
      <c r="H712"/>
    </row>
    <row r="713" spans="1:8" ht="15" customHeight="1">
      <c r="A713"/>
      <c r="B713"/>
      <c r="C713"/>
      <c r="D713"/>
      <c r="E713"/>
      <c r="F713"/>
      <c r="G713"/>
      <c r="H713"/>
    </row>
    <row r="714" spans="1:8" ht="15" customHeight="1">
      <c r="A714"/>
      <c r="B714"/>
      <c r="C714"/>
      <c r="D714"/>
      <c r="E714"/>
      <c r="F714"/>
      <c r="G714"/>
      <c r="H714"/>
    </row>
    <row r="715" spans="1:8" ht="15" customHeight="1">
      <c r="A715"/>
      <c r="B715"/>
      <c r="C715"/>
      <c r="D715"/>
      <c r="E715"/>
      <c r="F715"/>
      <c r="G715"/>
      <c r="H715"/>
    </row>
    <row r="716" spans="1:8" ht="15" customHeight="1">
      <c r="A716"/>
      <c r="B716"/>
      <c r="C716"/>
      <c r="D716"/>
      <c r="E716"/>
      <c r="F716"/>
      <c r="G716"/>
      <c r="H716"/>
    </row>
    <row r="717" spans="1:8" ht="15" customHeight="1">
      <c r="A717"/>
      <c r="B717"/>
      <c r="C717"/>
      <c r="D717"/>
      <c r="E717"/>
      <c r="F717"/>
      <c r="G717"/>
      <c r="H717"/>
    </row>
    <row r="718" spans="1:8" ht="15" customHeight="1">
      <c r="A718"/>
      <c r="B718"/>
      <c r="C718"/>
      <c r="D718"/>
      <c r="E718"/>
      <c r="F718"/>
      <c r="G718"/>
      <c r="H718"/>
    </row>
    <row r="719" spans="1:8" ht="15" customHeight="1">
      <c r="A719"/>
      <c r="B719"/>
      <c r="C719"/>
      <c r="D719"/>
      <c r="E719"/>
      <c r="F719"/>
      <c r="G719"/>
      <c r="H719"/>
    </row>
    <row r="720" spans="1:8" ht="15" customHeight="1">
      <c r="A720"/>
      <c r="B720"/>
      <c r="C720"/>
      <c r="D720"/>
      <c r="E720"/>
      <c r="F720"/>
      <c r="G720"/>
      <c r="H720"/>
    </row>
    <row r="721" spans="1:8" ht="15" customHeight="1">
      <c r="A721"/>
      <c r="B721"/>
      <c r="C721"/>
      <c r="D721"/>
      <c r="E721"/>
      <c r="F721"/>
      <c r="G721"/>
      <c r="H721"/>
    </row>
    <row r="722" spans="1:8" ht="15" customHeight="1">
      <c r="A722"/>
      <c r="B722"/>
      <c r="C722"/>
      <c r="D722"/>
      <c r="E722"/>
      <c r="F722"/>
      <c r="G722"/>
      <c r="H722"/>
    </row>
    <row r="723" spans="1:8" ht="15" customHeight="1">
      <c r="A723"/>
      <c r="B723"/>
      <c r="C723"/>
      <c r="D723"/>
      <c r="E723"/>
      <c r="F723"/>
      <c r="G723"/>
      <c r="H723"/>
    </row>
    <row r="724" spans="1:8" ht="15" customHeight="1">
      <c r="A724"/>
      <c r="B724"/>
      <c r="C724"/>
      <c r="D724"/>
      <c r="E724"/>
      <c r="F724"/>
      <c r="G724"/>
      <c r="H724"/>
    </row>
    <row r="725" spans="1:8" ht="15" customHeight="1">
      <c r="A725"/>
      <c r="B725"/>
      <c r="C725"/>
      <c r="D725"/>
      <c r="E725"/>
      <c r="F725"/>
      <c r="G725"/>
      <c r="H725"/>
    </row>
    <row r="726" spans="1:8" ht="15" customHeight="1">
      <c r="A726"/>
      <c r="B726"/>
      <c r="C726"/>
      <c r="D726"/>
      <c r="E726"/>
      <c r="F726"/>
      <c r="G726"/>
      <c r="H726"/>
    </row>
    <row r="727" spans="1:8" ht="15" customHeight="1">
      <c r="A727"/>
      <c r="B727"/>
      <c r="C727"/>
      <c r="D727"/>
      <c r="E727"/>
      <c r="F727"/>
      <c r="G727"/>
      <c r="H727"/>
    </row>
    <row r="728" spans="1:8" ht="15" customHeight="1">
      <c r="A728"/>
      <c r="B728"/>
      <c r="C728"/>
      <c r="D728"/>
      <c r="E728"/>
      <c r="F728"/>
      <c r="G728"/>
      <c r="H728"/>
    </row>
    <row r="729" spans="1:8" ht="15" customHeight="1">
      <c r="A729"/>
      <c r="B729"/>
      <c r="C729"/>
      <c r="D729"/>
      <c r="E729"/>
      <c r="F729"/>
      <c r="G729"/>
      <c r="H729"/>
    </row>
    <row r="730" spans="1:8" ht="15" customHeight="1">
      <c r="A730"/>
      <c r="B730"/>
      <c r="C730"/>
      <c r="D730"/>
      <c r="E730"/>
      <c r="F730"/>
      <c r="G730"/>
      <c r="H730"/>
    </row>
    <row r="731" spans="1:8" ht="15" customHeight="1">
      <c r="A731"/>
      <c r="B731"/>
      <c r="C731"/>
      <c r="D731"/>
      <c r="E731"/>
      <c r="F731"/>
      <c r="G731"/>
      <c r="H731"/>
    </row>
    <row r="732" spans="1:8" ht="15" customHeight="1">
      <c r="A732"/>
      <c r="B732"/>
      <c r="C732"/>
      <c r="D732"/>
      <c r="E732"/>
      <c r="F732"/>
      <c r="G732"/>
      <c r="H732"/>
    </row>
    <row r="733" spans="1:8" ht="15" customHeight="1">
      <c r="A733"/>
      <c r="B733"/>
      <c r="C733"/>
      <c r="D733"/>
      <c r="E733"/>
      <c r="F733"/>
      <c r="G733"/>
      <c r="H733"/>
    </row>
    <row r="734" spans="1:8" ht="15" customHeight="1">
      <c r="A734"/>
      <c r="B734"/>
      <c r="C734"/>
      <c r="D734"/>
      <c r="E734"/>
      <c r="F734"/>
      <c r="G734"/>
      <c r="H734"/>
    </row>
    <row r="735" spans="1:8" ht="15" customHeight="1">
      <c r="A735"/>
      <c r="B735"/>
      <c r="C735"/>
      <c r="D735"/>
      <c r="E735"/>
      <c r="F735"/>
      <c r="G735"/>
      <c r="H735"/>
    </row>
    <row r="736" spans="1:8" ht="15" customHeight="1">
      <c r="A736"/>
      <c r="B736"/>
      <c r="C736"/>
      <c r="D736"/>
      <c r="E736"/>
      <c r="F736"/>
      <c r="G736"/>
      <c r="H736"/>
    </row>
    <row r="737" spans="1:8" ht="15" customHeight="1">
      <c r="A737"/>
      <c r="B737"/>
      <c r="C737"/>
      <c r="D737"/>
      <c r="E737"/>
      <c r="F737"/>
      <c r="G737"/>
      <c r="H737"/>
    </row>
    <row r="738" spans="1:8" ht="15" customHeight="1">
      <c r="A738"/>
      <c r="B738"/>
      <c r="C738"/>
      <c r="D738"/>
      <c r="E738"/>
      <c r="F738"/>
      <c r="G738"/>
      <c r="H738"/>
    </row>
    <row r="739" spans="1:8" ht="15" customHeight="1">
      <c r="A739"/>
      <c r="B739"/>
      <c r="C739"/>
      <c r="D739"/>
      <c r="E739"/>
      <c r="F739"/>
      <c r="G739"/>
      <c r="H739"/>
    </row>
    <row r="740" spans="1:8" ht="15" customHeight="1">
      <c r="A740"/>
      <c r="B740"/>
      <c r="C740"/>
      <c r="D740"/>
      <c r="E740"/>
      <c r="F740"/>
      <c r="G740"/>
      <c r="H740"/>
    </row>
    <row r="741" spans="1:8" ht="15" customHeight="1">
      <c r="A741"/>
      <c r="B741"/>
      <c r="C741"/>
      <c r="D741"/>
      <c r="E741"/>
      <c r="F741"/>
      <c r="G741"/>
      <c r="H741"/>
    </row>
    <row r="742" spans="1:8" ht="15" customHeight="1">
      <c r="A742"/>
      <c r="B742"/>
      <c r="C742"/>
      <c r="D742"/>
      <c r="E742"/>
      <c r="F742"/>
      <c r="G742"/>
      <c r="H742"/>
    </row>
    <row r="743" spans="1:8" ht="15" customHeight="1">
      <c r="A743"/>
      <c r="B743"/>
      <c r="C743"/>
      <c r="D743"/>
      <c r="E743"/>
      <c r="F743"/>
      <c r="G743"/>
      <c r="H743"/>
    </row>
    <row r="744" spans="1:8" ht="15" customHeight="1">
      <c r="A744"/>
      <c r="B744"/>
      <c r="C744"/>
      <c r="D744"/>
      <c r="E744"/>
      <c r="F744"/>
      <c r="G744"/>
      <c r="H744"/>
    </row>
    <row r="745" spans="1:8" ht="15" customHeight="1">
      <c r="A745"/>
      <c r="B745"/>
      <c r="C745"/>
      <c r="D745"/>
      <c r="E745"/>
      <c r="F745"/>
      <c r="G745"/>
      <c r="H745"/>
    </row>
    <row r="746" spans="1:8" ht="15" customHeight="1">
      <c r="A746"/>
      <c r="B746"/>
      <c r="C746"/>
      <c r="D746"/>
      <c r="E746"/>
      <c r="F746"/>
      <c r="G746"/>
      <c r="H746"/>
    </row>
    <row r="747" spans="1:8" ht="15" customHeight="1">
      <c r="A747"/>
      <c r="B747"/>
      <c r="C747"/>
      <c r="D747"/>
      <c r="E747"/>
      <c r="F747"/>
      <c r="G747"/>
      <c r="H747"/>
    </row>
    <row r="748" spans="1:8" ht="15" customHeight="1">
      <c r="A748"/>
      <c r="B748"/>
      <c r="C748"/>
      <c r="D748"/>
      <c r="E748"/>
      <c r="F748"/>
      <c r="G748"/>
      <c r="H748"/>
    </row>
    <row r="749" spans="1:8" ht="15" customHeight="1">
      <c r="A749"/>
      <c r="B749"/>
      <c r="C749"/>
      <c r="D749"/>
      <c r="E749"/>
      <c r="F749"/>
      <c r="G749"/>
      <c r="H749"/>
    </row>
    <row r="750" spans="1:8" ht="15" customHeight="1">
      <c r="A750"/>
      <c r="B750"/>
      <c r="C750"/>
      <c r="D750"/>
      <c r="E750"/>
      <c r="F750"/>
      <c r="G750"/>
      <c r="H750"/>
    </row>
    <row r="751" spans="1:8" ht="15" customHeight="1">
      <c r="A751"/>
      <c r="B751"/>
      <c r="C751"/>
      <c r="D751"/>
      <c r="E751"/>
      <c r="F751"/>
      <c r="G751"/>
      <c r="H751"/>
    </row>
    <row r="752" spans="1:8" ht="15" customHeight="1">
      <c r="A752"/>
      <c r="B752"/>
      <c r="C752"/>
      <c r="D752"/>
      <c r="E752"/>
      <c r="F752"/>
      <c r="G752"/>
      <c r="H752"/>
    </row>
    <row r="753" spans="1:8" ht="15" customHeight="1">
      <c r="A753"/>
      <c r="B753"/>
      <c r="C753"/>
      <c r="D753"/>
      <c r="E753"/>
      <c r="F753"/>
      <c r="G753"/>
      <c r="H753"/>
    </row>
    <row r="754" spans="1:8" ht="15" customHeight="1">
      <c r="A754"/>
      <c r="B754"/>
      <c r="C754"/>
      <c r="D754"/>
      <c r="E754"/>
      <c r="F754"/>
      <c r="G754"/>
      <c r="H754"/>
    </row>
    <row r="755" spans="1:8" ht="15" customHeight="1">
      <c r="A755"/>
      <c r="B755"/>
      <c r="C755"/>
      <c r="D755"/>
      <c r="E755"/>
      <c r="F755"/>
      <c r="G755"/>
      <c r="H755"/>
    </row>
    <row r="756" spans="1:8" ht="15" customHeight="1">
      <c r="A756"/>
      <c r="B756"/>
      <c r="C756"/>
      <c r="D756"/>
      <c r="E756"/>
      <c r="F756"/>
      <c r="G756"/>
      <c r="H756"/>
    </row>
    <row r="757" spans="1:8" ht="15" customHeight="1">
      <c r="A757"/>
      <c r="B757"/>
      <c r="C757"/>
      <c r="D757"/>
      <c r="E757"/>
      <c r="F757"/>
      <c r="G757"/>
      <c r="H757"/>
    </row>
    <row r="758" spans="1:8" ht="15" customHeight="1">
      <c r="A758"/>
      <c r="B758"/>
      <c r="C758"/>
      <c r="D758"/>
      <c r="E758"/>
      <c r="F758"/>
      <c r="G758"/>
      <c r="H758"/>
    </row>
    <row r="759" spans="1:8" ht="15" customHeight="1">
      <c r="A759"/>
      <c r="B759"/>
      <c r="C759"/>
      <c r="D759"/>
      <c r="E759"/>
      <c r="F759"/>
      <c r="G759"/>
      <c r="H759"/>
    </row>
    <row r="760" spans="1:8" ht="15" customHeight="1">
      <c r="A760"/>
      <c r="B760"/>
      <c r="C760"/>
      <c r="D760"/>
      <c r="E760"/>
      <c r="F760"/>
      <c r="G760"/>
      <c r="H760"/>
    </row>
    <row r="761" spans="1:8" ht="15" customHeight="1">
      <c r="A761"/>
      <c r="B761"/>
      <c r="C761"/>
      <c r="D761"/>
      <c r="E761"/>
      <c r="F761"/>
      <c r="G761"/>
      <c r="H761"/>
    </row>
    <row r="762" spans="1:8" ht="15" customHeight="1">
      <c r="A762"/>
      <c r="B762"/>
      <c r="C762"/>
      <c r="D762"/>
      <c r="E762"/>
      <c r="F762"/>
      <c r="G762"/>
      <c r="H762"/>
    </row>
    <row r="763" spans="1:8" ht="15" customHeight="1">
      <c r="A763"/>
      <c r="B763"/>
      <c r="C763"/>
      <c r="D763"/>
      <c r="E763"/>
      <c r="F763"/>
      <c r="G763"/>
      <c r="H763"/>
    </row>
    <row r="764" spans="1:8" ht="15" customHeight="1">
      <c r="A764"/>
      <c r="B764"/>
      <c r="C764"/>
      <c r="D764"/>
      <c r="E764"/>
      <c r="F764"/>
      <c r="G764"/>
      <c r="H764"/>
    </row>
    <row r="765" spans="1:8" ht="15" customHeight="1">
      <c r="A765"/>
      <c r="B765"/>
      <c r="C765"/>
      <c r="D765"/>
      <c r="E765"/>
      <c r="F765"/>
      <c r="G765"/>
      <c r="H765"/>
    </row>
    <row r="766" spans="1:8" ht="15" customHeight="1">
      <c r="A766"/>
      <c r="B766"/>
      <c r="C766"/>
      <c r="D766"/>
      <c r="E766"/>
      <c r="F766"/>
      <c r="G766"/>
      <c r="H766"/>
    </row>
    <row r="767" spans="1:8" ht="15" customHeight="1">
      <c r="A767"/>
      <c r="B767"/>
      <c r="C767"/>
      <c r="D767"/>
      <c r="E767"/>
      <c r="F767"/>
      <c r="G767"/>
      <c r="H767"/>
    </row>
    <row r="768" spans="1:8" ht="15" customHeight="1">
      <c r="A768"/>
      <c r="B768"/>
      <c r="C768"/>
      <c r="D768"/>
      <c r="E768"/>
      <c r="F768"/>
      <c r="G768"/>
      <c r="H768"/>
    </row>
    <row r="769" spans="1:8" ht="15" customHeight="1">
      <c r="A769"/>
      <c r="B769"/>
      <c r="C769"/>
      <c r="D769"/>
      <c r="E769"/>
      <c r="F769"/>
      <c r="G769"/>
      <c r="H769"/>
    </row>
    <row r="770" spans="1:8" ht="15" customHeight="1">
      <c r="A770"/>
      <c r="B770"/>
      <c r="C770"/>
      <c r="D770"/>
      <c r="E770"/>
      <c r="F770"/>
      <c r="G770"/>
      <c r="H770"/>
    </row>
    <row r="771" spans="1:8" ht="15" customHeight="1">
      <c r="A771"/>
      <c r="B771"/>
      <c r="C771"/>
      <c r="D771"/>
      <c r="E771"/>
      <c r="F771"/>
      <c r="G771"/>
      <c r="H771"/>
    </row>
    <row r="772" spans="1:8" ht="15" customHeight="1">
      <c r="A772"/>
      <c r="B772"/>
      <c r="C772"/>
      <c r="D772"/>
      <c r="E772"/>
      <c r="F772"/>
      <c r="G772"/>
      <c r="H772"/>
    </row>
    <row r="773" spans="1:8" ht="15" customHeight="1">
      <c r="A773"/>
      <c r="B773"/>
      <c r="C773"/>
      <c r="D773"/>
      <c r="E773"/>
      <c r="F773"/>
      <c r="G773"/>
      <c r="H773"/>
    </row>
    <row r="774" spans="1:8" ht="15" customHeight="1">
      <c r="A774"/>
      <c r="B774"/>
      <c r="C774"/>
      <c r="D774"/>
      <c r="E774"/>
      <c r="F774"/>
      <c r="G774"/>
      <c r="H774"/>
    </row>
    <row r="775" spans="1:8" ht="15" customHeight="1">
      <c r="A775"/>
      <c r="B775"/>
      <c r="C775"/>
      <c r="D775"/>
      <c r="E775"/>
      <c r="F775"/>
      <c r="G775"/>
      <c r="H775"/>
    </row>
    <row r="776" spans="1:8" ht="15" customHeight="1">
      <c r="A776"/>
      <c r="B776"/>
      <c r="C776"/>
      <c r="D776"/>
      <c r="E776"/>
      <c r="F776"/>
      <c r="G776"/>
      <c r="H776"/>
    </row>
    <row r="777" spans="1:8" ht="15" customHeight="1">
      <c r="A777"/>
      <c r="B777"/>
      <c r="C777"/>
      <c r="D777"/>
      <c r="E777"/>
      <c r="F777"/>
      <c r="G777"/>
      <c r="H777"/>
    </row>
    <row r="778" spans="1:8" ht="15" customHeight="1">
      <c r="A778"/>
      <c r="B778"/>
      <c r="C778"/>
      <c r="D778"/>
      <c r="E778"/>
      <c r="F778"/>
      <c r="G778"/>
      <c r="H778"/>
    </row>
    <row r="779" spans="1:8" ht="15" customHeight="1">
      <c r="A779"/>
      <c r="B779"/>
      <c r="C779"/>
      <c r="D779"/>
      <c r="E779"/>
      <c r="F779"/>
      <c r="G779"/>
      <c r="H779"/>
    </row>
    <row r="780" spans="1:8" ht="15" customHeight="1">
      <c r="A780"/>
      <c r="B780"/>
      <c r="C780"/>
      <c r="D780"/>
      <c r="E780"/>
      <c r="F780"/>
      <c r="G780"/>
      <c r="H780"/>
    </row>
    <row r="781" spans="1:8" ht="15" customHeight="1">
      <c r="A781"/>
      <c r="B781"/>
      <c r="C781"/>
      <c r="D781"/>
      <c r="E781"/>
      <c r="F781"/>
      <c r="G781"/>
      <c r="H781"/>
    </row>
    <row r="782" spans="1:8" ht="15" customHeight="1">
      <c r="A782"/>
      <c r="B782"/>
      <c r="C782"/>
      <c r="D782"/>
      <c r="E782"/>
      <c r="F782"/>
      <c r="G782"/>
      <c r="H782"/>
    </row>
    <row r="783" spans="1:8" ht="15" customHeight="1">
      <c r="A783"/>
      <c r="B783"/>
      <c r="C783"/>
      <c r="D783"/>
      <c r="E783"/>
      <c r="F783"/>
      <c r="G783"/>
      <c r="H783"/>
    </row>
    <row r="784" spans="1:8" ht="15" customHeight="1">
      <c r="A784"/>
      <c r="B784"/>
      <c r="C784"/>
      <c r="D784"/>
      <c r="E784"/>
      <c r="F784"/>
      <c r="G784"/>
      <c r="H784"/>
    </row>
    <row r="785" spans="1:8" ht="15" customHeight="1">
      <c r="A785"/>
      <c r="B785"/>
      <c r="C785"/>
      <c r="D785"/>
      <c r="E785"/>
      <c r="F785"/>
      <c r="G785"/>
      <c r="H785"/>
    </row>
    <row r="786" spans="1:8" ht="15" customHeight="1">
      <c r="A786"/>
      <c r="B786"/>
      <c r="C786"/>
      <c r="D786"/>
      <c r="E786"/>
      <c r="F786"/>
      <c r="G786"/>
      <c r="H786"/>
    </row>
    <row r="787" spans="1:8" ht="15" customHeight="1">
      <c r="A787"/>
      <c r="B787"/>
      <c r="C787"/>
      <c r="D787"/>
      <c r="E787"/>
      <c r="F787"/>
      <c r="G787"/>
      <c r="H787"/>
    </row>
    <row r="788" spans="1:8" ht="15" customHeight="1">
      <c r="A788"/>
      <c r="B788"/>
      <c r="C788"/>
      <c r="D788"/>
      <c r="E788"/>
      <c r="F788"/>
      <c r="G788"/>
      <c r="H788"/>
    </row>
    <row r="789" spans="1:8" ht="15" customHeight="1">
      <c r="A789"/>
      <c r="B789"/>
      <c r="C789"/>
      <c r="D789"/>
      <c r="E789"/>
      <c r="F789"/>
      <c r="G789"/>
      <c r="H789"/>
    </row>
    <row r="790" spans="1:8" ht="15" customHeight="1">
      <c r="A790"/>
      <c r="B790"/>
      <c r="C790"/>
      <c r="D790"/>
      <c r="E790"/>
      <c r="F790"/>
      <c r="G790"/>
      <c r="H790"/>
    </row>
    <row r="791" spans="1:8" ht="15" customHeight="1">
      <c r="A791"/>
      <c r="B791"/>
      <c r="C791"/>
      <c r="D791"/>
      <c r="E791"/>
      <c r="F791"/>
      <c r="G791"/>
      <c r="H791"/>
    </row>
    <row r="792" spans="1:8" ht="15" customHeight="1">
      <c r="A792"/>
      <c r="B792"/>
      <c r="C792"/>
      <c r="D792"/>
      <c r="E792"/>
      <c r="F792"/>
      <c r="G792"/>
      <c r="H792"/>
    </row>
    <row r="793" spans="1:8" ht="15" customHeight="1">
      <c r="A793"/>
      <c r="B793"/>
      <c r="C793"/>
      <c r="D793"/>
      <c r="E793"/>
      <c r="F793"/>
      <c r="G793"/>
      <c r="H793"/>
    </row>
    <row r="794" spans="1:8" ht="15" customHeight="1">
      <c r="A794"/>
      <c r="B794"/>
      <c r="C794"/>
      <c r="D794"/>
      <c r="E794"/>
      <c r="F794"/>
      <c r="G794"/>
      <c r="H794"/>
    </row>
    <row r="795" spans="1:8" ht="15" customHeight="1">
      <c r="A795"/>
      <c r="B795"/>
      <c r="C795"/>
      <c r="D795"/>
      <c r="E795"/>
      <c r="F795"/>
      <c r="G795"/>
      <c r="H795"/>
    </row>
    <row r="796" spans="1:8" ht="15" customHeight="1">
      <c r="A796"/>
      <c r="B796"/>
      <c r="C796"/>
      <c r="D796"/>
      <c r="E796"/>
      <c r="F796"/>
      <c r="G796"/>
      <c r="H796"/>
    </row>
    <row r="797" spans="1:8" ht="15" customHeight="1">
      <c r="A797"/>
      <c r="B797"/>
      <c r="C797"/>
      <c r="D797"/>
      <c r="E797"/>
      <c r="F797"/>
      <c r="G797"/>
      <c r="H797"/>
    </row>
    <row r="798" spans="1:8" ht="15" customHeight="1">
      <c r="A798"/>
      <c r="B798"/>
      <c r="C798"/>
      <c r="D798"/>
      <c r="E798"/>
      <c r="F798"/>
      <c r="G798"/>
      <c r="H798"/>
    </row>
    <row r="799" spans="1:8" ht="15" customHeight="1">
      <c r="A799"/>
      <c r="B799"/>
      <c r="C799"/>
      <c r="D799"/>
      <c r="E799"/>
      <c r="F799"/>
      <c r="G799"/>
      <c r="H799"/>
    </row>
    <row r="800" spans="1:8" ht="15" customHeight="1">
      <c r="A800"/>
      <c r="B800"/>
      <c r="C800"/>
      <c r="D800"/>
      <c r="E800"/>
      <c r="F800"/>
      <c r="G800"/>
      <c r="H800"/>
    </row>
    <row r="801" spans="1:8" ht="15" customHeight="1">
      <c r="A801"/>
      <c r="B801"/>
      <c r="C801"/>
      <c r="D801"/>
      <c r="E801"/>
      <c r="F801"/>
      <c r="G801"/>
      <c r="H801"/>
    </row>
    <row r="802" spans="1:8" ht="15" customHeight="1">
      <c r="A802"/>
      <c r="B802"/>
      <c r="C802"/>
      <c r="D802"/>
      <c r="E802"/>
      <c r="F802"/>
      <c r="G802"/>
      <c r="H802"/>
    </row>
    <row r="803" spans="1:8" ht="15" customHeight="1">
      <c r="A803"/>
      <c r="B803"/>
      <c r="C803"/>
      <c r="D803"/>
      <c r="E803"/>
      <c r="F803"/>
      <c r="G803"/>
      <c r="H803"/>
    </row>
    <row r="804" spans="1:8" ht="15" customHeight="1">
      <c r="A804"/>
      <c r="B804"/>
      <c r="C804"/>
      <c r="D804"/>
      <c r="E804"/>
      <c r="F804"/>
      <c r="G804"/>
      <c r="H804"/>
    </row>
    <row r="805" spans="1:8" ht="15" customHeight="1">
      <c r="A805"/>
      <c r="B805"/>
      <c r="C805"/>
      <c r="D805"/>
      <c r="E805"/>
      <c r="F805"/>
      <c r="G805"/>
      <c r="H805"/>
    </row>
    <row r="806" spans="1:8" ht="15" customHeight="1">
      <c r="A806"/>
      <c r="B806"/>
      <c r="C806"/>
      <c r="D806"/>
      <c r="E806"/>
      <c r="F806"/>
      <c r="G806"/>
      <c r="H806"/>
    </row>
    <row r="807" spans="1:8" ht="15" customHeight="1">
      <c r="A807"/>
      <c r="B807"/>
      <c r="C807"/>
      <c r="D807"/>
      <c r="E807"/>
      <c r="F807"/>
      <c r="G807"/>
      <c r="H807"/>
    </row>
    <row r="808" spans="1:8" ht="15" customHeight="1">
      <c r="A808"/>
      <c r="B808"/>
      <c r="C808"/>
      <c r="D808"/>
      <c r="E808"/>
      <c r="F808"/>
      <c r="G808"/>
      <c r="H808"/>
    </row>
    <row r="809" spans="1:8" ht="15" customHeight="1">
      <c r="A809"/>
      <c r="B809"/>
      <c r="C809"/>
      <c r="D809"/>
      <c r="E809"/>
      <c r="F809"/>
      <c r="G809"/>
      <c r="H809"/>
    </row>
    <row r="810" spans="1:8" ht="15" customHeight="1">
      <c r="A810"/>
      <c r="B810"/>
      <c r="C810"/>
      <c r="D810"/>
      <c r="E810"/>
      <c r="F810"/>
      <c r="G810"/>
      <c r="H810"/>
    </row>
    <row r="811" spans="1:8" ht="15" customHeight="1">
      <c r="A811"/>
      <c r="B811"/>
      <c r="C811"/>
      <c r="D811"/>
      <c r="E811"/>
      <c r="F811"/>
      <c r="G811"/>
      <c r="H811"/>
    </row>
    <row r="812" spans="1:8" ht="15" customHeight="1">
      <c r="A812"/>
      <c r="B812"/>
      <c r="C812"/>
      <c r="D812"/>
      <c r="E812"/>
      <c r="F812"/>
      <c r="G812"/>
      <c r="H812"/>
    </row>
    <row r="813" spans="1:8" ht="15" customHeight="1">
      <c r="A813"/>
      <c r="B813"/>
      <c r="C813"/>
      <c r="D813"/>
      <c r="E813"/>
      <c r="F813"/>
      <c r="G813"/>
      <c r="H813"/>
    </row>
    <row r="814" spans="1:8" ht="15" customHeight="1">
      <c r="A814"/>
      <c r="B814"/>
      <c r="C814"/>
      <c r="D814"/>
      <c r="E814"/>
      <c r="F814"/>
      <c r="G814"/>
      <c r="H814"/>
    </row>
    <row r="815" spans="1:8" ht="15" customHeight="1">
      <c r="A815"/>
      <c r="B815"/>
      <c r="C815"/>
      <c r="D815"/>
      <c r="E815"/>
      <c r="F815"/>
      <c r="G815"/>
      <c r="H815"/>
    </row>
    <row r="816" spans="1:8" ht="15" customHeight="1">
      <c r="A816"/>
      <c r="B816"/>
      <c r="C816"/>
      <c r="D816"/>
      <c r="E816"/>
      <c r="F816"/>
      <c r="G816"/>
      <c r="H816"/>
    </row>
    <row r="817" spans="1:8" ht="15" customHeight="1">
      <c r="A817"/>
      <c r="B817"/>
      <c r="C817"/>
      <c r="D817"/>
      <c r="E817"/>
      <c r="F817"/>
      <c r="G817"/>
      <c r="H817"/>
    </row>
    <row r="818" spans="1:8" ht="15" customHeight="1">
      <c r="A818"/>
      <c r="B818"/>
      <c r="C818"/>
      <c r="D818"/>
      <c r="E818"/>
      <c r="F818"/>
      <c r="G818"/>
      <c r="H818"/>
    </row>
    <row r="819" spans="1:8" ht="15" customHeight="1">
      <c r="A819"/>
      <c r="B819"/>
      <c r="C819"/>
      <c r="D819"/>
      <c r="E819"/>
      <c r="F819"/>
      <c r="G819"/>
      <c r="H819"/>
    </row>
    <row r="820" spans="1:8" ht="15" customHeight="1">
      <c r="A820"/>
      <c r="B820"/>
      <c r="C820"/>
      <c r="D820"/>
      <c r="E820"/>
      <c r="F820"/>
      <c r="G820"/>
      <c r="H820"/>
    </row>
    <row r="821" spans="1:8" ht="15" customHeight="1">
      <c r="A821"/>
      <c r="B821"/>
      <c r="C821"/>
      <c r="D821"/>
      <c r="E821"/>
      <c r="F821"/>
      <c r="G821"/>
      <c r="H821"/>
    </row>
    <row r="822" spans="1:8" ht="15" customHeight="1">
      <c r="A822"/>
      <c r="B822"/>
      <c r="C822"/>
      <c r="D822"/>
      <c r="E822"/>
      <c r="F822"/>
      <c r="G822"/>
      <c r="H822"/>
    </row>
    <row r="823" spans="1:8" ht="15" customHeight="1">
      <c r="A823"/>
      <c r="B823"/>
      <c r="C823"/>
      <c r="D823"/>
      <c r="E823"/>
      <c r="F823"/>
      <c r="G823"/>
      <c r="H823"/>
    </row>
    <row r="824" spans="1:8" ht="15" customHeight="1">
      <c r="A824"/>
      <c r="B824"/>
      <c r="C824"/>
      <c r="D824"/>
      <c r="E824"/>
      <c r="F824"/>
      <c r="G824"/>
      <c r="H824"/>
    </row>
    <row r="825" spans="1:8" ht="15" customHeight="1">
      <c r="A825"/>
      <c r="B825"/>
      <c r="C825"/>
      <c r="D825"/>
      <c r="E825"/>
      <c r="F825"/>
      <c r="G825"/>
      <c r="H825"/>
    </row>
    <row r="826" spans="1:8" ht="15" customHeight="1">
      <c r="A826"/>
      <c r="B826"/>
      <c r="C826"/>
      <c r="D826"/>
      <c r="E826"/>
      <c r="F826"/>
      <c r="G826"/>
      <c r="H826"/>
    </row>
    <row r="827" spans="1:8" ht="15" customHeight="1">
      <c r="A827"/>
      <c r="B827"/>
      <c r="C827"/>
      <c r="D827"/>
      <c r="E827"/>
      <c r="F827"/>
      <c r="G827"/>
      <c r="H827"/>
    </row>
    <row r="828" spans="1:8" ht="15" customHeight="1">
      <c r="A828"/>
      <c r="B828"/>
      <c r="C828"/>
      <c r="D828"/>
      <c r="E828"/>
      <c r="F828"/>
      <c r="G828"/>
      <c r="H828"/>
    </row>
    <row r="829" spans="1:8" ht="15" customHeight="1">
      <c r="A829"/>
      <c r="B829"/>
      <c r="C829"/>
      <c r="D829"/>
      <c r="E829"/>
      <c r="F829"/>
      <c r="G829"/>
      <c r="H829"/>
    </row>
    <row r="830" spans="1:8" ht="15" customHeight="1">
      <c r="A830"/>
      <c r="B830"/>
      <c r="C830"/>
      <c r="D830"/>
      <c r="E830"/>
      <c r="F830"/>
      <c r="G830"/>
      <c r="H830"/>
    </row>
    <row r="831" spans="1:8" ht="15" customHeight="1">
      <c r="A831"/>
      <c r="B831"/>
      <c r="C831"/>
      <c r="D831"/>
      <c r="E831"/>
      <c r="F831"/>
      <c r="G831"/>
      <c r="H831"/>
    </row>
    <row r="832" spans="1:8" ht="15" customHeight="1">
      <c r="A832"/>
      <c r="B832"/>
      <c r="C832"/>
      <c r="D832"/>
      <c r="E832"/>
      <c r="F832"/>
      <c r="G832"/>
      <c r="H832"/>
    </row>
    <row r="833" spans="1:8" ht="15" customHeight="1">
      <c r="A833"/>
      <c r="B833"/>
      <c r="C833"/>
      <c r="D833"/>
      <c r="E833"/>
      <c r="F833"/>
      <c r="G833"/>
      <c r="H833"/>
    </row>
    <row r="834" spans="1:8" ht="15" customHeight="1">
      <c r="A834"/>
      <c r="B834"/>
      <c r="C834"/>
      <c r="D834"/>
      <c r="E834"/>
      <c r="F834"/>
      <c r="G834"/>
      <c r="H834"/>
    </row>
    <row r="835" spans="1:8" ht="15" customHeight="1">
      <c r="A835"/>
      <c r="B835"/>
      <c r="C835"/>
      <c r="D835"/>
      <c r="E835"/>
      <c r="F835"/>
      <c r="G835"/>
      <c r="H835"/>
    </row>
    <row r="836" spans="1:8" ht="15" customHeight="1">
      <c r="A836"/>
      <c r="B836"/>
      <c r="C836"/>
      <c r="D836"/>
      <c r="E836"/>
      <c r="F836"/>
      <c r="G836"/>
      <c r="H836"/>
    </row>
    <row r="837" spans="1:8" ht="15" customHeight="1">
      <c r="A837"/>
      <c r="B837"/>
      <c r="C837"/>
      <c r="D837"/>
      <c r="E837"/>
      <c r="F837"/>
      <c r="G837"/>
      <c r="H837"/>
    </row>
    <row r="838" spans="1:8" ht="15" customHeight="1">
      <c r="A838"/>
      <c r="B838"/>
      <c r="C838"/>
      <c r="D838"/>
      <c r="E838"/>
      <c r="F838"/>
      <c r="G838"/>
      <c r="H838"/>
    </row>
    <row r="839" spans="1:8" ht="15" customHeight="1">
      <c r="A839"/>
      <c r="B839"/>
      <c r="C839"/>
      <c r="D839"/>
      <c r="E839"/>
      <c r="F839"/>
      <c r="G839"/>
      <c r="H839"/>
    </row>
    <row r="840" spans="1:8" ht="15" customHeight="1">
      <c r="A840"/>
      <c r="B840"/>
      <c r="C840"/>
      <c r="D840"/>
      <c r="E840"/>
      <c r="F840"/>
      <c r="G840"/>
      <c r="H840"/>
    </row>
    <row r="841" spans="1:8" ht="15" customHeight="1">
      <c r="A841"/>
      <c r="B841"/>
      <c r="C841"/>
      <c r="D841"/>
      <c r="E841"/>
      <c r="F841"/>
      <c r="G841"/>
      <c r="H841"/>
    </row>
    <row r="842" spans="1:8" ht="15" customHeight="1">
      <c r="A842"/>
      <c r="B842"/>
      <c r="C842"/>
      <c r="D842"/>
      <c r="E842"/>
      <c r="F842"/>
      <c r="G842"/>
      <c r="H842"/>
    </row>
    <row r="843" spans="1:8" ht="15" customHeight="1">
      <c r="A843"/>
      <c r="B843"/>
      <c r="C843"/>
      <c r="D843"/>
      <c r="E843"/>
      <c r="F843"/>
      <c r="G843"/>
      <c r="H843"/>
    </row>
    <row r="844" spans="1:8" ht="15" customHeight="1">
      <c r="A844"/>
      <c r="B844"/>
      <c r="C844"/>
      <c r="D844"/>
      <c r="E844"/>
      <c r="F844"/>
      <c r="G844"/>
      <c r="H844"/>
    </row>
    <row r="845" spans="1:8" ht="15" customHeight="1">
      <c r="A845"/>
      <c r="B845"/>
      <c r="C845"/>
      <c r="D845"/>
      <c r="E845"/>
      <c r="F845"/>
      <c r="G845"/>
      <c r="H845"/>
    </row>
    <row r="846" spans="1:8" ht="15" customHeight="1">
      <c r="A846"/>
      <c r="B846"/>
      <c r="C846"/>
      <c r="D846"/>
      <c r="E846"/>
      <c r="F846"/>
      <c r="G846"/>
      <c r="H846"/>
    </row>
    <row r="847" spans="1:8" ht="15" customHeight="1">
      <c r="A847"/>
      <c r="B847"/>
      <c r="C847"/>
      <c r="D847"/>
      <c r="E847"/>
      <c r="F847"/>
      <c r="G847"/>
      <c r="H847"/>
    </row>
    <row r="848" spans="1:8" ht="15" customHeight="1">
      <c r="A848"/>
      <c r="B848"/>
      <c r="C848"/>
      <c r="D848"/>
      <c r="E848"/>
      <c r="F848"/>
      <c r="G848"/>
      <c r="H848"/>
    </row>
    <row r="849" spans="1:8" ht="15" customHeight="1">
      <c r="A849"/>
      <c r="B849"/>
      <c r="C849"/>
      <c r="D849"/>
      <c r="E849"/>
      <c r="F849"/>
      <c r="G849"/>
      <c r="H849"/>
    </row>
    <row r="850" spans="1:8" ht="15" customHeight="1">
      <c r="A850"/>
      <c r="B850"/>
      <c r="C850"/>
      <c r="D850"/>
      <c r="E850"/>
      <c r="F850"/>
      <c r="G850"/>
      <c r="H850"/>
    </row>
    <row r="851" spans="1:8" ht="15" customHeight="1">
      <c r="A851"/>
      <c r="B851"/>
      <c r="C851"/>
      <c r="D851"/>
      <c r="E851"/>
      <c r="F851"/>
      <c r="G851"/>
      <c r="H851"/>
    </row>
    <row r="852" spans="1:8" ht="15" customHeight="1">
      <c r="A852"/>
      <c r="B852"/>
      <c r="C852"/>
      <c r="D852"/>
      <c r="E852"/>
      <c r="F852"/>
      <c r="G852"/>
      <c r="H852"/>
    </row>
    <row r="853" spans="1:8" ht="15" customHeight="1">
      <c r="A853"/>
      <c r="B853"/>
      <c r="C853"/>
      <c r="D853"/>
      <c r="E853"/>
      <c r="F853"/>
      <c r="G853"/>
      <c r="H853"/>
    </row>
    <row r="854" spans="1:8" ht="15" customHeight="1">
      <c r="A854"/>
      <c r="B854"/>
      <c r="C854"/>
      <c r="D854"/>
      <c r="E854"/>
      <c r="F854"/>
      <c r="G854"/>
      <c r="H854"/>
    </row>
    <row r="855" spans="1:8" ht="15" customHeight="1">
      <c r="A855"/>
      <c r="B855"/>
      <c r="C855"/>
      <c r="D855"/>
      <c r="E855"/>
      <c r="F855"/>
      <c r="G855"/>
      <c r="H855"/>
    </row>
    <row r="856" spans="1:8" ht="15" customHeight="1">
      <c r="A856"/>
      <c r="B856"/>
      <c r="C856"/>
      <c r="D856"/>
      <c r="E856"/>
      <c r="F856"/>
      <c r="G856"/>
      <c r="H856"/>
    </row>
    <row r="857" spans="1:8" ht="15" customHeight="1">
      <c r="A857"/>
      <c r="B857"/>
      <c r="C857"/>
      <c r="D857"/>
      <c r="E857"/>
      <c r="F857"/>
      <c r="G857"/>
      <c r="H857"/>
    </row>
    <row r="858" spans="1:8" ht="15" customHeight="1">
      <c r="A858"/>
      <c r="B858"/>
      <c r="C858"/>
      <c r="D858"/>
      <c r="E858"/>
      <c r="F858"/>
      <c r="G858"/>
      <c r="H858"/>
    </row>
    <row r="859" spans="1:8" ht="15" customHeight="1">
      <c r="A859"/>
      <c r="B859"/>
      <c r="C859"/>
      <c r="D859"/>
      <c r="E859"/>
      <c r="F859"/>
      <c r="G859"/>
      <c r="H859"/>
    </row>
    <row r="860" spans="1:8" ht="15" customHeight="1">
      <c r="A860"/>
      <c r="B860"/>
      <c r="C860"/>
      <c r="D860"/>
      <c r="E860"/>
      <c r="F860"/>
      <c r="G860"/>
      <c r="H860"/>
    </row>
    <row r="861" spans="1:8" ht="15" customHeight="1">
      <c r="A861"/>
      <c r="B861"/>
      <c r="C861"/>
      <c r="D861"/>
      <c r="E861"/>
      <c r="F861"/>
      <c r="G861"/>
      <c r="H861"/>
    </row>
    <row r="862" spans="1:8" ht="15" customHeight="1">
      <c r="A862"/>
      <c r="B862"/>
      <c r="C862"/>
      <c r="D862"/>
      <c r="E862"/>
      <c r="F862"/>
      <c r="G862"/>
      <c r="H862"/>
    </row>
    <row r="863" spans="1:8" ht="15" customHeight="1">
      <c r="A863"/>
      <c r="B863"/>
      <c r="C863"/>
      <c r="D863"/>
      <c r="E863"/>
      <c r="F863"/>
      <c r="G863"/>
      <c r="H863"/>
    </row>
    <row r="864" spans="1:8" ht="15" customHeight="1">
      <c r="A864"/>
      <c r="B864"/>
      <c r="C864"/>
      <c r="D864"/>
      <c r="E864"/>
      <c r="F864"/>
      <c r="G864"/>
      <c r="H864"/>
    </row>
    <row r="865" spans="1:8" ht="15" customHeight="1">
      <c r="A865"/>
      <c r="B865"/>
      <c r="C865"/>
      <c r="D865"/>
      <c r="E865"/>
      <c r="F865"/>
      <c r="G865"/>
      <c r="H865"/>
    </row>
    <row r="866" spans="1:8" ht="15" customHeight="1">
      <c r="A866"/>
      <c r="B866"/>
      <c r="C866"/>
      <c r="D866"/>
      <c r="E866"/>
      <c r="F866"/>
      <c r="G866"/>
      <c r="H866"/>
    </row>
    <row r="867" spans="1:8" ht="15" customHeight="1">
      <c r="A867"/>
      <c r="B867"/>
      <c r="C867"/>
      <c r="D867"/>
      <c r="E867"/>
      <c r="F867"/>
      <c r="G867"/>
      <c r="H867"/>
    </row>
    <row r="868" spans="1:8" ht="15" customHeight="1">
      <c r="A868"/>
      <c r="B868"/>
      <c r="C868"/>
      <c r="D868"/>
      <c r="E868"/>
      <c r="F868"/>
      <c r="G868"/>
      <c r="H868"/>
    </row>
    <row r="869" spans="1:8" ht="15" customHeight="1">
      <c r="A869"/>
      <c r="B869"/>
      <c r="C869"/>
      <c r="D869"/>
      <c r="E869"/>
      <c r="F869"/>
      <c r="G869"/>
      <c r="H869"/>
    </row>
    <row r="870" spans="1:8" ht="15" customHeight="1">
      <c r="A870"/>
      <c r="B870"/>
      <c r="C870"/>
      <c r="D870"/>
      <c r="E870"/>
      <c r="F870"/>
      <c r="G870"/>
      <c r="H870"/>
    </row>
    <row r="871" spans="1:8" ht="15" customHeight="1">
      <c r="A871"/>
      <c r="B871"/>
      <c r="C871"/>
      <c r="D871"/>
      <c r="E871"/>
      <c r="F871"/>
      <c r="G871"/>
      <c r="H871"/>
    </row>
    <row r="872" spans="1:8" ht="15" customHeight="1">
      <c r="A872"/>
      <c r="B872"/>
      <c r="C872"/>
      <c r="D872"/>
      <c r="E872"/>
      <c r="F872"/>
      <c r="G872"/>
      <c r="H872"/>
    </row>
    <row r="873" spans="1:8" ht="15" customHeight="1">
      <c r="A873"/>
      <c r="B873"/>
      <c r="C873"/>
      <c r="D873"/>
      <c r="E873"/>
      <c r="F873"/>
      <c r="G873"/>
      <c r="H873"/>
    </row>
    <row r="874" spans="1:8" ht="15" customHeight="1">
      <c r="A874"/>
      <c r="B874"/>
      <c r="C874"/>
      <c r="D874"/>
      <c r="E874"/>
      <c r="F874"/>
      <c r="G874"/>
      <c r="H874"/>
    </row>
    <row r="875" spans="1:8" ht="15" customHeight="1">
      <c r="A875"/>
      <c r="B875"/>
      <c r="C875"/>
      <c r="D875"/>
      <c r="E875"/>
      <c r="F875"/>
      <c r="G875"/>
      <c r="H875"/>
    </row>
    <row r="876" spans="1:8" ht="15" customHeight="1">
      <c r="A876"/>
      <c r="B876"/>
      <c r="C876"/>
      <c r="D876"/>
      <c r="E876"/>
      <c r="F876"/>
      <c r="G876"/>
      <c r="H876"/>
    </row>
    <row r="877" spans="1:8" ht="15" customHeight="1">
      <c r="A877"/>
      <c r="B877"/>
      <c r="C877"/>
      <c r="D877"/>
      <c r="E877"/>
      <c r="F877"/>
      <c r="G877"/>
      <c r="H877"/>
    </row>
    <row r="878" spans="1:8" ht="15" customHeight="1">
      <c r="A878"/>
      <c r="B878"/>
      <c r="C878"/>
      <c r="D878"/>
      <c r="E878"/>
      <c r="F878"/>
      <c r="G878"/>
      <c r="H878"/>
    </row>
    <row r="879" spans="1:8" ht="15" customHeight="1">
      <c r="A879"/>
      <c r="B879"/>
      <c r="C879"/>
      <c r="D879"/>
      <c r="E879"/>
      <c r="F879"/>
      <c r="G879"/>
      <c r="H879"/>
    </row>
    <row r="880" spans="1:8" ht="15" customHeight="1">
      <c r="A880"/>
      <c r="B880"/>
      <c r="C880"/>
      <c r="D880"/>
      <c r="E880"/>
      <c r="F880"/>
      <c r="G880"/>
      <c r="H880"/>
    </row>
    <row r="881" spans="1:8" ht="15" customHeight="1">
      <c r="A881"/>
      <c r="B881"/>
      <c r="C881"/>
      <c r="D881"/>
      <c r="E881"/>
      <c r="F881"/>
      <c r="G881"/>
      <c r="H881"/>
    </row>
    <row r="882" spans="1:8" ht="15" customHeight="1">
      <c r="A882"/>
      <c r="B882"/>
      <c r="C882"/>
      <c r="D882"/>
      <c r="E882"/>
      <c r="F882"/>
      <c r="G882"/>
      <c r="H882"/>
    </row>
    <row r="883" spans="1:8" ht="15" customHeight="1">
      <c r="A883"/>
      <c r="B883"/>
      <c r="C883"/>
      <c r="D883"/>
      <c r="E883"/>
      <c r="F883"/>
      <c r="G883"/>
      <c r="H883"/>
    </row>
    <row r="884" spans="1:8" ht="15" customHeight="1">
      <c r="A884"/>
      <c r="B884"/>
      <c r="C884"/>
      <c r="D884"/>
      <c r="E884"/>
      <c r="F884"/>
      <c r="G884"/>
      <c r="H884"/>
    </row>
    <row r="885" spans="1:8" ht="15" customHeight="1">
      <c r="A885"/>
      <c r="B885"/>
      <c r="C885"/>
      <c r="D885"/>
      <c r="E885"/>
      <c r="F885"/>
      <c r="G885"/>
      <c r="H885"/>
    </row>
    <row r="886" spans="1:8" ht="15" customHeight="1">
      <c r="A886"/>
      <c r="B886"/>
      <c r="C886"/>
      <c r="D886"/>
      <c r="E886"/>
      <c r="F886"/>
      <c r="G886"/>
      <c r="H886"/>
    </row>
    <row r="887" spans="1:8" ht="15" customHeight="1">
      <c r="A887"/>
      <c r="B887"/>
      <c r="C887"/>
      <c r="D887"/>
      <c r="E887"/>
      <c r="F887"/>
      <c r="G887"/>
      <c r="H887"/>
    </row>
    <row r="888" spans="1:8" ht="15" customHeight="1">
      <c r="A888"/>
      <c r="B888"/>
      <c r="C888"/>
      <c r="D888"/>
      <c r="E888"/>
      <c r="F888"/>
      <c r="G888"/>
      <c r="H888"/>
    </row>
    <row r="889" spans="1:8" ht="15" customHeight="1">
      <c r="A889"/>
      <c r="B889"/>
      <c r="C889"/>
      <c r="D889"/>
      <c r="E889"/>
      <c r="F889"/>
      <c r="G889"/>
      <c r="H889"/>
    </row>
    <row r="890" spans="1:8" ht="15" customHeight="1">
      <c r="A890"/>
      <c r="B890"/>
      <c r="C890"/>
      <c r="D890"/>
      <c r="E890"/>
      <c r="F890"/>
      <c r="G890"/>
      <c r="H890"/>
    </row>
    <row r="891" spans="1:8" ht="15" customHeight="1">
      <c r="A891"/>
      <c r="B891"/>
      <c r="C891"/>
      <c r="D891"/>
      <c r="E891"/>
      <c r="F891"/>
      <c r="G891"/>
      <c r="H891"/>
    </row>
    <row r="892" spans="1:8" ht="15" customHeight="1">
      <c r="A892"/>
      <c r="B892"/>
      <c r="C892"/>
      <c r="D892"/>
      <c r="E892"/>
      <c r="F892"/>
      <c r="G892"/>
      <c r="H892"/>
    </row>
    <row r="893" spans="1:8" ht="15" customHeight="1">
      <c r="A893"/>
      <c r="B893"/>
      <c r="C893"/>
      <c r="D893"/>
      <c r="E893"/>
      <c r="F893"/>
      <c r="G893"/>
      <c r="H893"/>
    </row>
    <row r="894" spans="1:8" ht="15" customHeight="1">
      <c r="A894"/>
      <c r="B894"/>
      <c r="C894"/>
      <c r="D894"/>
      <c r="E894"/>
      <c r="F894"/>
      <c r="G894"/>
      <c r="H894"/>
    </row>
    <row r="895" spans="1:8" ht="15" customHeight="1">
      <c r="A895"/>
      <c r="B895"/>
      <c r="C895"/>
      <c r="D895"/>
      <c r="E895"/>
      <c r="F895"/>
      <c r="G895"/>
      <c r="H895"/>
    </row>
    <row r="896" spans="1:8" ht="15" customHeight="1">
      <c r="A896"/>
      <c r="B896"/>
      <c r="C896"/>
      <c r="D896"/>
      <c r="E896"/>
      <c r="F896"/>
      <c r="G896"/>
      <c r="H896"/>
    </row>
    <row r="897" spans="1:8" ht="15" customHeight="1">
      <c r="A897"/>
      <c r="B897"/>
      <c r="C897"/>
      <c r="D897"/>
      <c r="E897"/>
      <c r="F897"/>
      <c r="G897"/>
      <c r="H897"/>
    </row>
    <row r="898" spans="1:8" ht="15" customHeight="1">
      <c r="A898"/>
      <c r="B898"/>
      <c r="C898"/>
      <c r="D898"/>
      <c r="E898"/>
      <c r="F898"/>
      <c r="G898"/>
      <c r="H898"/>
    </row>
    <row r="899" spans="1:8" ht="15" customHeight="1">
      <c r="A899"/>
      <c r="B899"/>
      <c r="C899"/>
      <c r="D899"/>
      <c r="E899"/>
      <c r="F899"/>
      <c r="G899"/>
      <c r="H899"/>
    </row>
    <row r="900" spans="1:8" ht="15" customHeight="1">
      <c r="A900"/>
      <c r="B900"/>
      <c r="C900"/>
      <c r="D900"/>
      <c r="E900"/>
      <c r="F900"/>
      <c r="G900"/>
      <c r="H900"/>
    </row>
    <row r="901" spans="1:8" ht="15" customHeight="1">
      <c r="A901"/>
      <c r="B901"/>
      <c r="C901"/>
      <c r="D901"/>
      <c r="E901"/>
      <c r="F901"/>
      <c r="G901"/>
      <c r="H901"/>
    </row>
    <row r="902" spans="1:8" ht="15" customHeight="1">
      <c r="A902"/>
      <c r="B902"/>
      <c r="C902"/>
      <c r="D902"/>
      <c r="E902"/>
      <c r="F902"/>
      <c r="G902"/>
      <c r="H902"/>
    </row>
    <row r="903" spans="1:8" ht="15" customHeight="1">
      <c r="A903"/>
      <c r="B903"/>
      <c r="C903"/>
      <c r="D903"/>
      <c r="E903"/>
      <c r="F903"/>
      <c r="G903"/>
      <c r="H903"/>
    </row>
    <row r="904" spans="1:8" ht="15" customHeight="1">
      <c r="A904"/>
      <c r="B904"/>
      <c r="C904"/>
      <c r="D904"/>
      <c r="E904"/>
      <c r="F904"/>
      <c r="G904"/>
      <c r="H904"/>
    </row>
    <row r="905" spans="1:8" ht="15" customHeight="1">
      <c r="A905"/>
      <c r="B905"/>
      <c r="C905"/>
      <c r="D905"/>
      <c r="E905"/>
      <c r="F905"/>
      <c r="G905"/>
      <c r="H905"/>
    </row>
    <row r="906" spans="1:8" ht="15" customHeight="1">
      <c r="A906"/>
      <c r="B906"/>
      <c r="C906"/>
      <c r="D906"/>
      <c r="E906"/>
      <c r="F906"/>
      <c r="G906"/>
      <c r="H906"/>
    </row>
    <row r="907" spans="1:8" ht="15" customHeight="1">
      <c r="A907"/>
      <c r="B907"/>
      <c r="C907"/>
      <c r="D907"/>
      <c r="E907"/>
      <c r="F907"/>
      <c r="G907"/>
      <c r="H907"/>
    </row>
    <row r="908" spans="1:8" ht="15" customHeight="1">
      <c r="A908"/>
      <c r="B908"/>
      <c r="C908"/>
      <c r="D908"/>
      <c r="E908"/>
      <c r="F908"/>
      <c r="G908"/>
      <c r="H908"/>
    </row>
    <row r="909" spans="1:8" ht="15" customHeight="1">
      <c r="A909"/>
      <c r="B909"/>
      <c r="C909"/>
      <c r="D909"/>
      <c r="E909"/>
      <c r="F909"/>
      <c r="G909"/>
      <c r="H909"/>
    </row>
    <row r="910" spans="1:8" ht="15" customHeight="1">
      <c r="A910"/>
      <c r="B910"/>
      <c r="C910"/>
      <c r="D910"/>
      <c r="E910"/>
      <c r="F910"/>
      <c r="G910"/>
      <c r="H910"/>
    </row>
    <row r="911" spans="1:8" ht="15" customHeight="1">
      <c r="A911"/>
      <c r="B911"/>
      <c r="C911"/>
      <c r="D911"/>
      <c r="E911"/>
      <c r="F911"/>
      <c r="G911"/>
      <c r="H911"/>
    </row>
    <row r="912" spans="1:8" ht="15" customHeight="1">
      <c r="A912"/>
      <c r="B912"/>
      <c r="C912"/>
      <c r="D912"/>
      <c r="E912"/>
      <c r="F912"/>
      <c r="G912"/>
      <c r="H912"/>
    </row>
    <row r="913" spans="1:8" ht="15" customHeight="1">
      <c r="A913"/>
      <c r="B913"/>
      <c r="C913"/>
      <c r="D913"/>
      <c r="E913"/>
      <c r="F913"/>
      <c r="G913"/>
      <c r="H913"/>
    </row>
    <row r="914" spans="1:8" ht="15" customHeight="1">
      <c r="A914"/>
      <c r="B914"/>
      <c r="C914"/>
      <c r="D914"/>
      <c r="E914"/>
      <c r="F914"/>
      <c r="G914"/>
      <c r="H914"/>
    </row>
    <row r="915" spans="1:8" ht="15" customHeight="1">
      <c r="A915"/>
      <c r="B915"/>
      <c r="C915"/>
      <c r="D915"/>
      <c r="E915"/>
      <c r="F915"/>
      <c r="G915"/>
      <c r="H915"/>
    </row>
    <row r="916" spans="1:8" ht="15" customHeight="1">
      <c r="A916"/>
      <c r="B916"/>
      <c r="C916"/>
      <c r="D916"/>
      <c r="E916"/>
      <c r="F916"/>
      <c r="G916"/>
      <c r="H916"/>
    </row>
    <row r="917" spans="1:8" ht="15" customHeight="1">
      <c r="A917"/>
      <c r="B917"/>
      <c r="C917"/>
      <c r="D917"/>
      <c r="E917"/>
      <c r="F917"/>
      <c r="G917"/>
      <c r="H917"/>
    </row>
    <row r="918" spans="1:8" ht="15" customHeight="1">
      <c r="A918"/>
      <c r="B918"/>
      <c r="C918"/>
      <c r="D918"/>
      <c r="E918"/>
      <c r="F918"/>
      <c r="G918"/>
      <c r="H918"/>
    </row>
    <row r="919" spans="1:8" ht="15" customHeight="1">
      <c r="A919"/>
      <c r="B919"/>
      <c r="C919"/>
      <c r="D919"/>
      <c r="E919"/>
      <c r="F919"/>
      <c r="G919"/>
      <c r="H919"/>
    </row>
    <row r="920" spans="1:8" ht="15" customHeight="1">
      <c r="A920"/>
      <c r="B920"/>
      <c r="C920"/>
      <c r="D920"/>
      <c r="E920"/>
      <c r="F920"/>
      <c r="G920"/>
      <c r="H920"/>
    </row>
    <row r="921" spans="1:8" ht="15" customHeight="1">
      <c r="A921"/>
      <c r="B921"/>
      <c r="C921"/>
      <c r="D921"/>
      <c r="E921"/>
      <c r="F921"/>
      <c r="G921"/>
      <c r="H921"/>
    </row>
    <row r="922" spans="1:8" ht="15" customHeight="1">
      <c r="A922"/>
      <c r="B922"/>
      <c r="C922"/>
      <c r="D922"/>
      <c r="E922"/>
      <c r="F922"/>
      <c r="G922"/>
      <c r="H922"/>
    </row>
    <row r="923" spans="1:8" ht="15" customHeight="1">
      <c r="A923"/>
      <c r="B923"/>
      <c r="C923"/>
      <c r="D923"/>
      <c r="E923"/>
      <c r="F923"/>
      <c r="G923"/>
      <c r="H923"/>
    </row>
    <row r="924" spans="1:8" ht="15" customHeight="1">
      <c r="A924"/>
      <c r="B924"/>
      <c r="C924"/>
      <c r="D924"/>
      <c r="E924"/>
      <c r="F924"/>
      <c r="G924"/>
      <c r="H924"/>
    </row>
    <row r="925" spans="1:8" ht="15" customHeight="1">
      <c r="A925"/>
      <c r="B925"/>
      <c r="C925"/>
      <c r="D925"/>
      <c r="E925"/>
      <c r="F925"/>
      <c r="G925"/>
      <c r="H925"/>
    </row>
    <row r="926" spans="1:8" ht="15" customHeight="1">
      <c r="A926"/>
      <c r="B926"/>
      <c r="C926"/>
      <c r="D926"/>
      <c r="E926"/>
      <c r="F926"/>
      <c r="G926"/>
      <c r="H926"/>
    </row>
    <row r="927" spans="1:8" ht="15" customHeight="1">
      <c r="A927"/>
      <c r="B927"/>
      <c r="C927"/>
      <c r="D927"/>
      <c r="E927"/>
      <c r="F927"/>
      <c r="G927"/>
      <c r="H927"/>
    </row>
    <row r="928" spans="1:8" ht="15" customHeight="1">
      <c r="A928"/>
      <c r="B928"/>
      <c r="C928"/>
      <c r="D928"/>
      <c r="E928"/>
      <c r="F928"/>
      <c r="G928"/>
      <c r="H928"/>
    </row>
    <row r="929" spans="1:8" ht="15" customHeight="1">
      <c r="A929"/>
      <c r="B929"/>
      <c r="C929"/>
      <c r="D929"/>
      <c r="E929"/>
      <c r="F929"/>
      <c r="G929"/>
      <c r="H929"/>
    </row>
    <row r="930" spans="1:8" ht="15" customHeight="1">
      <c r="A930"/>
      <c r="B930"/>
      <c r="C930"/>
      <c r="D930"/>
      <c r="E930"/>
      <c r="F930"/>
      <c r="G930"/>
      <c r="H930"/>
    </row>
    <row r="931" spans="1:8" ht="15" customHeight="1">
      <c r="A931"/>
      <c r="B931"/>
      <c r="C931"/>
      <c r="D931"/>
      <c r="E931"/>
      <c r="F931"/>
      <c r="G931"/>
      <c r="H931"/>
    </row>
    <row r="932" spans="1:8" ht="15" customHeight="1">
      <c r="A932"/>
      <c r="B932"/>
      <c r="C932"/>
      <c r="D932"/>
      <c r="E932"/>
      <c r="F932"/>
      <c r="G932"/>
      <c r="H932"/>
    </row>
    <row r="933" spans="1:8" ht="15" customHeight="1">
      <c r="A933"/>
      <c r="B933"/>
      <c r="C933"/>
      <c r="D933"/>
      <c r="E933"/>
      <c r="F933"/>
      <c r="G933"/>
      <c r="H933"/>
    </row>
    <row r="934" spans="1:8" ht="15" customHeight="1">
      <c r="A934"/>
      <c r="B934"/>
      <c r="C934"/>
      <c r="D934"/>
      <c r="E934"/>
      <c r="F934"/>
      <c r="G934"/>
      <c r="H934"/>
    </row>
    <row r="935" spans="1:8" ht="15" customHeight="1">
      <c r="A935"/>
      <c r="B935"/>
      <c r="C935"/>
      <c r="D935"/>
      <c r="E935"/>
      <c r="F935"/>
      <c r="G935"/>
      <c r="H935"/>
    </row>
    <row r="936" spans="1:8" ht="15" customHeight="1">
      <c r="A936"/>
      <c r="B936"/>
      <c r="C936"/>
      <c r="D936"/>
      <c r="E936"/>
      <c r="F936"/>
      <c r="G936"/>
      <c r="H936"/>
    </row>
    <row r="937" spans="1:8" ht="15" customHeight="1">
      <c r="A937"/>
      <c r="B937"/>
      <c r="C937"/>
      <c r="D937"/>
      <c r="E937"/>
      <c r="F937"/>
      <c r="G937"/>
      <c r="H937"/>
    </row>
    <row r="938" spans="1:8" ht="15" customHeight="1">
      <c r="A938"/>
      <c r="B938"/>
      <c r="C938"/>
      <c r="D938"/>
      <c r="E938"/>
      <c r="F938"/>
      <c r="G938"/>
      <c r="H938"/>
    </row>
    <row r="939" spans="1:8" ht="15" customHeight="1">
      <c r="A939"/>
      <c r="B939"/>
      <c r="C939"/>
      <c r="D939"/>
      <c r="E939"/>
      <c r="F939"/>
      <c r="G939"/>
      <c r="H939"/>
    </row>
    <row r="940" spans="1:8" ht="15" customHeight="1">
      <c r="A940"/>
      <c r="B940"/>
      <c r="C940"/>
      <c r="D940"/>
      <c r="E940"/>
      <c r="F940"/>
      <c r="G940"/>
      <c r="H940"/>
    </row>
    <row r="941" spans="1:8" ht="15" customHeight="1">
      <c r="A941"/>
      <c r="B941"/>
      <c r="C941"/>
      <c r="D941"/>
      <c r="E941"/>
      <c r="F941"/>
      <c r="G941"/>
      <c r="H941"/>
    </row>
    <row r="942" spans="1:8" ht="15" customHeight="1">
      <c r="A942"/>
      <c r="B942"/>
      <c r="C942"/>
      <c r="D942"/>
      <c r="E942"/>
      <c r="F942"/>
      <c r="G942"/>
      <c r="H942"/>
    </row>
    <row r="943" spans="1:8" ht="15" customHeight="1">
      <c r="A943"/>
      <c r="B943"/>
      <c r="C943"/>
      <c r="D943"/>
      <c r="E943"/>
      <c r="F943"/>
      <c r="G943"/>
      <c r="H943"/>
    </row>
    <row r="944" spans="1:8" ht="15" customHeight="1">
      <c r="A944"/>
      <c r="B944"/>
      <c r="C944"/>
      <c r="D944"/>
      <c r="E944"/>
      <c r="F944"/>
      <c r="G944"/>
      <c r="H944"/>
    </row>
    <row r="945" spans="1:8" ht="15" customHeight="1">
      <c r="A945"/>
      <c r="B945"/>
      <c r="C945"/>
      <c r="D945"/>
      <c r="E945"/>
      <c r="F945"/>
      <c r="G945"/>
      <c r="H945"/>
    </row>
    <row r="946" spans="1:8" ht="15" customHeight="1">
      <c r="A946"/>
      <c r="B946"/>
      <c r="C946"/>
      <c r="D946"/>
      <c r="E946"/>
      <c r="F946"/>
      <c r="G946"/>
      <c r="H946"/>
    </row>
    <row r="947" spans="1:8" ht="15" customHeight="1">
      <c r="A947"/>
      <c r="B947"/>
      <c r="C947"/>
      <c r="D947"/>
      <c r="E947"/>
      <c r="F947"/>
      <c r="G947"/>
      <c r="H947"/>
    </row>
    <row r="948" spans="1:8" ht="15" customHeight="1">
      <c r="A948"/>
      <c r="B948"/>
      <c r="C948"/>
      <c r="D948"/>
      <c r="E948"/>
      <c r="F948"/>
      <c r="G948"/>
      <c r="H948"/>
    </row>
    <row r="949" spans="1:8" ht="15" customHeight="1">
      <c r="A949"/>
      <c r="B949"/>
      <c r="C949"/>
      <c r="D949"/>
      <c r="E949"/>
      <c r="F949"/>
      <c r="G949"/>
      <c r="H949"/>
    </row>
    <row r="950" spans="1:8" ht="15" customHeight="1">
      <c r="A950"/>
      <c r="B950"/>
      <c r="C950"/>
      <c r="D950"/>
      <c r="E950"/>
      <c r="F950"/>
      <c r="G950"/>
      <c r="H950"/>
    </row>
    <row r="951" spans="1:8" ht="15" customHeight="1">
      <c r="A951"/>
      <c r="B951"/>
      <c r="C951"/>
      <c r="D951"/>
      <c r="E951"/>
      <c r="F951"/>
      <c r="G951"/>
      <c r="H951"/>
    </row>
    <row r="952" spans="1:8" ht="15" customHeight="1">
      <c r="A952"/>
      <c r="B952"/>
      <c r="C952"/>
      <c r="D952"/>
      <c r="E952"/>
      <c r="F952"/>
      <c r="G952"/>
      <c r="H952"/>
    </row>
    <row r="953" spans="1:8" ht="15" customHeight="1">
      <c r="A953"/>
      <c r="B953"/>
      <c r="C953"/>
      <c r="D953"/>
      <c r="E953"/>
      <c r="F953"/>
      <c r="G953"/>
      <c r="H953"/>
    </row>
    <row r="954" spans="1:8" ht="15" customHeight="1">
      <c r="A954"/>
      <c r="B954"/>
      <c r="C954"/>
      <c r="D954"/>
      <c r="E954"/>
      <c r="F954"/>
      <c r="G954"/>
      <c r="H954"/>
    </row>
    <row r="955" spans="1:8" ht="15" customHeight="1">
      <c r="A955"/>
      <c r="B955"/>
      <c r="C955"/>
      <c r="D955"/>
      <c r="E955"/>
      <c r="F955"/>
      <c r="G955"/>
      <c r="H955"/>
    </row>
    <row r="956" spans="1:8" ht="15" customHeight="1">
      <c r="A956"/>
      <c r="B956"/>
      <c r="C956"/>
      <c r="D956"/>
      <c r="E956"/>
      <c r="F956"/>
      <c r="G956"/>
      <c r="H956"/>
    </row>
    <row r="957" spans="1:8" ht="15" customHeight="1">
      <c r="A957"/>
      <c r="B957"/>
      <c r="C957"/>
      <c r="D957"/>
      <c r="E957"/>
      <c r="F957"/>
      <c r="G957"/>
      <c r="H957"/>
    </row>
    <row r="958" spans="1:8" ht="15" customHeight="1">
      <c r="A958"/>
      <c r="B958"/>
      <c r="C958"/>
      <c r="D958"/>
      <c r="E958"/>
      <c r="F958"/>
      <c r="G958"/>
      <c r="H958"/>
    </row>
    <row r="959" spans="1:8" ht="15" customHeight="1">
      <c r="A959"/>
      <c r="B959"/>
      <c r="C959"/>
      <c r="D959"/>
      <c r="E959"/>
      <c r="F959"/>
      <c r="G959"/>
      <c r="H959"/>
    </row>
    <row r="960" spans="1:8" ht="15" customHeight="1">
      <c r="A960"/>
      <c r="B960"/>
      <c r="C960"/>
      <c r="D960"/>
      <c r="E960"/>
      <c r="F960"/>
      <c r="G960"/>
      <c r="H960"/>
    </row>
    <row r="961" spans="1:8" ht="15" customHeight="1">
      <c r="A961"/>
      <c r="B961"/>
      <c r="C961"/>
      <c r="D961"/>
      <c r="E961"/>
      <c r="F961"/>
      <c r="G961"/>
      <c r="H961"/>
    </row>
    <row r="962" spans="1:8" ht="15" customHeight="1">
      <c r="A962"/>
      <c r="B962"/>
      <c r="C962"/>
      <c r="D962"/>
      <c r="E962"/>
      <c r="F962"/>
      <c r="G962"/>
      <c r="H962"/>
    </row>
    <row r="963" spans="1:8" ht="15" customHeight="1">
      <c r="A963"/>
      <c r="B963"/>
      <c r="C963"/>
      <c r="D963"/>
      <c r="E963"/>
      <c r="F963"/>
      <c r="G963"/>
      <c r="H963"/>
    </row>
    <row r="964" spans="1:8" ht="15" customHeight="1">
      <c r="A964"/>
      <c r="B964"/>
      <c r="C964"/>
      <c r="D964"/>
      <c r="E964"/>
      <c r="F964"/>
      <c r="G964"/>
      <c r="H964"/>
    </row>
    <row r="965" spans="1:8" ht="15" customHeight="1">
      <c r="A965"/>
      <c r="B965"/>
      <c r="C965"/>
      <c r="D965"/>
      <c r="E965"/>
      <c r="F965"/>
      <c r="G965"/>
      <c r="H965"/>
    </row>
    <row r="966" spans="1:8" ht="15" customHeight="1">
      <c r="A966"/>
      <c r="B966"/>
      <c r="C966"/>
      <c r="D966"/>
      <c r="E966"/>
      <c r="F966"/>
      <c r="G966"/>
      <c r="H966"/>
    </row>
    <row r="967" spans="1:8" ht="15" customHeight="1">
      <c r="A967"/>
      <c r="B967"/>
      <c r="C967"/>
      <c r="D967"/>
      <c r="E967"/>
      <c r="F967"/>
      <c r="G967"/>
      <c r="H967"/>
    </row>
    <row r="968" spans="1:8" ht="15" customHeight="1">
      <c r="A968"/>
      <c r="B968"/>
      <c r="C968"/>
      <c r="D968"/>
      <c r="E968"/>
      <c r="F968"/>
      <c r="G968"/>
      <c r="H968"/>
    </row>
    <row r="969" spans="1:8" ht="15" customHeight="1">
      <c r="A969"/>
      <c r="B969"/>
      <c r="C969"/>
      <c r="D969"/>
      <c r="E969"/>
      <c r="F969"/>
      <c r="G969"/>
      <c r="H969"/>
    </row>
    <row r="970" spans="1:8" ht="15" customHeight="1">
      <c r="A970"/>
      <c r="B970"/>
      <c r="C970"/>
      <c r="D970"/>
      <c r="E970"/>
      <c r="F970"/>
      <c r="G970"/>
      <c r="H970"/>
    </row>
    <row r="971" spans="1:8" ht="15" customHeight="1">
      <c r="A971"/>
      <c r="B971"/>
      <c r="C971"/>
      <c r="D971"/>
      <c r="E971"/>
      <c r="F971"/>
      <c r="G971"/>
      <c r="H971"/>
    </row>
    <row r="972" spans="1:8" ht="15" customHeight="1">
      <c r="A972"/>
      <c r="B972"/>
      <c r="C972"/>
      <c r="D972"/>
      <c r="E972"/>
      <c r="F972"/>
      <c r="G972"/>
      <c r="H972"/>
    </row>
    <row r="973" spans="1:8" ht="15" customHeight="1">
      <c r="A973"/>
      <c r="B973"/>
      <c r="C973"/>
      <c r="D973"/>
      <c r="E973"/>
      <c r="F973"/>
      <c r="G973"/>
      <c r="H973"/>
    </row>
    <row r="974" spans="1:8" ht="15" customHeight="1">
      <c r="A974"/>
      <c r="B974"/>
      <c r="C974"/>
      <c r="D974"/>
      <c r="E974"/>
      <c r="F974"/>
      <c r="G974"/>
      <c r="H974"/>
    </row>
    <row r="975" spans="1:8" ht="15" customHeight="1">
      <c r="A975"/>
      <c r="B975"/>
      <c r="C975"/>
      <c r="D975"/>
      <c r="E975"/>
      <c r="F975"/>
      <c r="G975"/>
      <c r="H975"/>
    </row>
    <row r="976" spans="1:8" ht="15" customHeight="1">
      <c r="A976"/>
      <c r="B976"/>
      <c r="C976"/>
      <c r="D976"/>
      <c r="E976"/>
      <c r="F976"/>
      <c r="G976"/>
      <c r="H976"/>
    </row>
    <row r="977" spans="1:8" ht="15" customHeight="1">
      <c r="A977"/>
      <c r="B977"/>
      <c r="C977"/>
      <c r="D977"/>
      <c r="E977"/>
      <c r="F977"/>
      <c r="G977"/>
      <c r="H977"/>
    </row>
    <row r="978" spans="1:8" ht="15" customHeight="1">
      <c r="A978"/>
      <c r="B978"/>
      <c r="C978"/>
      <c r="D978"/>
      <c r="E978"/>
      <c r="F978"/>
      <c r="G978"/>
      <c r="H978"/>
    </row>
    <row r="979" spans="1:8" ht="15" customHeight="1">
      <c r="A979"/>
      <c r="B979"/>
      <c r="C979"/>
      <c r="D979"/>
      <c r="E979"/>
      <c r="F979"/>
      <c r="G979"/>
      <c r="H979"/>
    </row>
    <row r="980" spans="1:8" ht="15" customHeight="1">
      <c r="A980"/>
      <c r="B980"/>
      <c r="C980"/>
      <c r="D980"/>
      <c r="E980"/>
      <c r="F980"/>
      <c r="G980"/>
      <c r="H980"/>
    </row>
    <row r="981" spans="1:8" ht="15" customHeight="1">
      <c r="A981"/>
      <c r="B981"/>
      <c r="C981"/>
      <c r="D981"/>
      <c r="E981"/>
      <c r="F981"/>
      <c r="G981"/>
      <c r="H981"/>
    </row>
    <row r="982" spans="1:8" ht="15" customHeight="1">
      <c r="A982"/>
      <c r="B982"/>
      <c r="C982"/>
      <c r="D982"/>
      <c r="E982"/>
      <c r="F982"/>
      <c r="G982"/>
      <c r="H982"/>
    </row>
    <row r="983" spans="1:8" ht="15" customHeight="1">
      <c r="A983"/>
      <c r="B983"/>
      <c r="C983"/>
      <c r="D983"/>
      <c r="E983"/>
      <c r="F983"/>
      <c r="G983"/>
      <c r="H983"/>
    </row>
    <row r="984" spans="1:8" ht="15" customHeight="1">
      <c r="A984"/>
      <c r="B984"/>
      <c r="C984"/>
      <c r="D984"/>
      <c r="E984"/>
      <c r="F984"/>
      <c r="G984"/>
      <c r="H984"/>
    </row>
    <row r="985" spans="1:8" ht="15" customHeight="1">
      <c r="A985"/>
      <c r="B985"/>
      <c r="C985"/>
      <c r="D985"/>
      <c r="E985"/>
      <c r="F985"/>
      <c r="G985"/>
      <c r="H985"/>
    </row>
    <row r="986" spans="1:8" ht="15" customHeight="1">
      <c r="A986"/>
      <c r="B986"/>
      <c r="C986"/>
      <c r="D986"/>
      <c r="E986"/>
      <c r="F986"/>
      <c r="G986"/>
      <c r="H986"/>
    </row>
    <row r="987" spans="1:8" ht="15" customHeight="1">
      <c r="A987"/>
      <c r="B987"/>
      <c r="C987"/>
      <c r="D987"/>
      <c r="E987"/>
      <c r="F987"/>
      <c r="G987"/>
      <c r="H987"/>
    </row>
    <row r="988" spans="1:8" ht="15" customHeight="1">
      <c r="A988"/>
      <c r="B988"/>
      <c r="C988"/>
      <c r="D988"/>
      <c r="E988"/>
      <c r="F988"/>
      <c r="G988"/>
      <c r="H988"/>
    </row>
    <row r="989" spans="1:8" ht="15" customHeight="1">
      <c r="A989"/>
      <c r="B989"/>
      <c r="C989"/>
      <c r="D989"/>
      <c r="E989"/>
      <c r="F989"/>
      <c r="G989"/>
      <c r="H989"/>
    </row>
    <row r="990" spans="1:8" ht="15" customHeight="1">
      <c r="A990"/>
      <c r="B990"/>
      <c r="C990"/>
      <c r="D990"/>
      <c r="E990"/>
      <c r="F990"/>
      <c r="G990"/>
      <c r="H990"/>
    </row>
    <row r="991" spans="1:8" ht="15" customHeight="1">
      <c r="A991"/>
      <c r="B991"/>
      <c r="C991"/>
      <c r="D991"/>
      <c r="E991"/>
      <c r="F991"/>
      <c r="G991"/>
      <c r="H991"/>
    </row>
    <row r="992" spans="1:8" ht="15" customHeight="1">
      <c r="A992"/>
      <c r="B992"/>
      <c r="C992"/>
      <c r="D992"/>
      <c r="E992"/>
      <c r="F992"/>
      <c r="G992"/>
      <c r="H992"/>
    </row>
    <row r="993" spans="1:8" ht="15" customHeight="1">
      <c r="A993"/>
      <c r="B993"/>
      <c r="C993"/>
      <c r="D993"/>
      <c r="E993"/>
      <c r="F993"/>
      <c r="G993"/>
      <c r="H993"/>
    </row>
    <row r="994" spans="1:8" ht="15" customHeight="1">
      <c r="A994"/>
      <c r="B994"/>
      <c r="C994"/>
      <c r="D994"/>
      <c r="E994"/>
      <c r="F994"/>
      <c r="G994"/>
      <c r="H994"/>
    </row>
    <row r="995" spans="1:8" ht="15" customHeight="1">
      <c r="A995"/>
      <c r="B995"/>
      <c r="C995"/>
      <c r="D995"/>
      <c r="E995"/>
      <c r="F995"/>
      <c r="G995"/>
      <c r="H995"/>
    </row>
    <row r="996" spans="1:8" ht="15" customHeight="1">
      <c r="A996"/>
      <c r="B996"/>
      <c r="C996"/>
      <c r="D996"/>
      <c r="E996"/>
      <c r="F996"/>
      <c r="G996"/>
      <c r="H996"/>
    </row>
    <row r="997" spans="1:8" ht="15" customHeight="1">
      <c r="A997"/>
      <c r="B997"/>
      <c r="C997"/>
      <c r="D997"/>
      <c r="E997"/>
      <c r="F997"/>
      <c r="G997"/>
      <c r="H997"/>
    </row>
    <row r="998" spans="1:8" ht="15" customHeight="1">
      <c r="A998"/>
      <c r="B998"/>
      <c r="C998"/>
      <c r="D998"/>
      <c r="E998"/>
      <c r="F998"/>
      <c r="G998"/>
      <c r="H998"/>
    </row>
    <row r="999" spans="1:8" ht="15" customHeight="1">
      <c r="A999"/>
      <c r="B999"/>
      <c r="C999"/>
      <c r="D999"/>
      <c r="E999"/>
      <c r="F999"/>
      <c r="G999"/>
      <c r="H999"/>
    </row>
    <row r="1000" spans="1:8" ht="15" customHeight="1">
      <c r="A1000"/>
      <c r="B1000"/>
      <c r="C1000"/>
      <c r="D1000"/>
      <c r="E1000"/>
      <c r="F1000"/>
      <c r="G1000"/>
      <c r="H1000"/>
    </row>
    <row r="1001" spans="1:8" ht="15" customHeight="1">
      <c r="A1001"/>
      <c r="B1001"/>
      <c r="C1001"/>
      <c r="D1001"/>
      <c r="E1001"/>
      <c r="F1001"/>
      <c r="G1001"/>
      <c r="H1001"/>
    </row>
    <row r="1002" spans="1:8" ht="15" customHeight="1">
      <c r="A1002"/>
      <c r="B1002"/>
      <c r="C1002"/>
      <c r="D1002"/>
      <c r="E1002"/>
      <c r="F1002"/>
      <c r="G1002"/>
      <c r="H1002"/>
    </row>
    <row r="1003" spans="1:8" ht="15" customHeight="1">
      <c r="A1003"/>
      <c r="B1003"/>
      <c r="C1003"/>
      <c r="D1003"/>
      <c r="E1003"/>
      <c r="F1003"/>
      <c r="G1003"/>
      <c r="H1003"/>
    </row>
    <row r="1004" spans="1:8" ht="15" customHeight="1">
      <c r="A1004"/>
      <c r="B1004"/>
      <c r="C1004"/>
      <c r="D1004"/>
      <c r="E1004"/>
      <c r="F1004"/>
      <c r="G1004"/>
      <c r="H1004"/>
    </row>
    <row r="1005" spans="1:8" ht="15" customHeight="1">
      <c r="A1005"/>
      <c r="B1005"/>
      <c r="C1005"/>
      <c r="D1005"/>
      <c r="E1005"/>
      <c r="F1005"/>
      <c r="G1005"/>
      <c r="H1005"/>
    </row>
    <row r="1006" spans="1:8" ht="15" customHeight="1">
      <c r="A1006"/>
      <c r="B1006"/>
      <c r="C1006"/>
      <c r="D1006"/>
      <c r="E1006"/>
      <c r="F1006"/>
      <c r="G1006"/>
      <c r="H1006"/>
    </row>
    <row r="1007" spans="1:8" ht="15" customHeight="1">
      <c r="A1007"/>
      <c r="B1007"/>
      <c r="C1007"/>
      <c r="D1007"/>
      <c r="E1007"/>
      <c r="F1007"/>
      <c r="G1007"/>
      <c r="H1007"/>
    </row>
    <row r="1008" spans="1:8" ht="15" customHeight="1">
      <c r="A1008"/>
      <c r="B1008"/>
      <c r="C1008"/>
      <c r="D1008"/>
      <c r="E1008"/>
      <c r="F1008"/>
      <c r="G1008"/>
      <c r="H1008"/>
    </row>
    <row r="1009" spans="1:8" ht="15" customHeight="1">
      <c r="A1009"/>
      <c r="B1009"/>
      <c r="C1009"/>
      <c r="D1009"/>
      <c r="E1009"/>
      <c r="F1009"/>
      <c r="G1009"/>
      <c r="H1009"/>
    </row>
    <row r="1010" spans="1:8" ht="15" customHeight="1">
      <c r="A1010"/>
      <c r="B1010"/>
      <c r="C1010"/>
      <c r="D1010"/>
      <c r="E1010"/>
      <c r="F1010"/>
      <c r="G1010"/>
      <c r="H1010"/>
    </row>
    <row r="1011" spans="1:8" ht="15" customHeight="1">
      <c r="A1011"/>
      <c r="B1011"/>
      <c r="C1011"/>
      <c r="D1011"/>
      <c r="E1011"/>
      <c r="F1011"/>
      <c r="G1011"/>
      <c r="H1011"/>
    </row>
    <row r="1012" spans="1:8" ht="15" customHeight="1">
      <c r="A1012"/>
      <c r="B1012"/>
      <c r="C1012"/>
      <c r="D1012"/>
      <c r="E1012"/>
      <c r="F1012"/>
      <c r="G1012"/>
      <c r="H1012"/>
    </row>
    <row r="1013" spans="1:8" ht="15" customHeight="1">
      <c r="A1013"/>
      <c r="B1013"/>
      <c r="C1013"/>
      <c r="D1013"/>
      <c r="E1013"/>
      <c r="F1013"/>
      <c r="G1013"/>
      <c r="H1013"/>
    </row>
    <row r="1014" spans="1:8" ht="15" customHeight="1">
      <c r="A1014"/>
      <c r="B1014"/>
      <c r="C1014"/>
      <c r="D1014"/>
      <c r="E1014"/>
      <c r="F1014"/>
      <c r="G1014"/>
      <c r="H1014"/>
    </row>
    <row r="1015" spans="1:8" ht="15" customHeight="1">
      <c r="A1015"/>
      <c r="B1015"/>
      <c r="C1015"/>
      <c r="D1015"/>
      <c r="E1015"/>
      <c r="F1015"/>
      <c r="G1015"/>
      <c r="H1015"/>
    </row>
    <row r="1016" spans="1:8" ht="15" customHeight="1">
      <c r="A1016"/>
      <c r="B1016"/>
      <c r="C1016"/>
      <c r="D1016"/>
      <c r="E1016"/>
      <c r="F1016"/>
      <c r="G1016"/>
      <c r="H1016"/>
    </row>
    <row r="1017" spans="1:8" ht="15" customHeight="1">
      <c r="A1017"/>
      <c r="B1017"/>
      <c r="C1017"/>
      <c r="D1017"/>
      <c r="E1017"/>
      <c r="F1017"/>
      <c r="G1017"/>
      <c r="H1017"/>
    </row>
    <row r="1018" spans="1:8" ht="15" customHeight="1">
      <c r="A1018"/>
      <c r="B1018"/>
      <c r="C1018"/>
      <c r="D1018"/>
      <c r="E1018"/>
      <c r="F1018"/>
      <c r="G1018"/>
      <c r="H1018"/>
    </row>
    <row r="1019" spans="1:8" ht="15" customHeight="1">
      <c r="A1019"/>
      <c r="B1019"/>
      <c r="C1019"/>
      <c r="D1019"/>
      <c r="E1019"/>
      <c r="F1019"/>
      <c r="G1019"/>
      <c r="H1019"/>
    </row>
    <row r="1020" spans="1:8" ht="15" customHeight="1">
      <c r="A1020"/>
      <c r="B1020"/>
      <c r="C1020"/>
      <c r="D1020"/>
      <c r="E1020"/>
      <c r="F1020"/>
      <c r="G1020"/>
      <c r="H1020"/>
    </row>
    <row r="1021" spans="1:8" ht="15" customHeight="1">
      <c r="A1021"/>
      <c r="B1021"/>
      <c r="C1021"/>
      <c r="D1021"/>
      <c r="E1021"/>
      <c r="F1021"/>
      <c r="G1021"/>
      <c r="H1021"/>
    </row>
    <row r="1022" spans="1:8" ht="15" customHeight="1">
      <c r="A1022"/>
      <c r="B1022"/>
      <c r="C1022"/>
      <c r="D1022"/>
      <c r="E1022"/>
      <c r="F1022"/>
      <c r="G1022"/>
      <c r="H1022"/>
    </row>
    <row r="1023" spans="1:8" ht="15" customHeight="1">
      <c r="A1023"/>
      <c r="B1023"/>
      <c r="C1023"/>
      <c r="D1023"/>
      <c r="E1023"/>
      <c r="F1023"/>
      <c r="G1023"/>
      <c r="H1023"/>
    </row>
    <row r="1024" spans="1:8" ht="15" customHeight="1">
      <c r="A1024"/>
      <c r="B1024"/>
      <c r="C1024"/>
      <c r="D1024"/>
      <c r="E1024"/>
      <c r="F1024"/>
      <c r="G1024"/>
      <c r="H1024"/>
    </row>
    <row r="1025" spans="1:8" ht="15" customHeight="1">
      <c r="A1025"/>
      <c r="B1025"/>
      <c r="C1025"/>
      <c r="D1025"/>
      <c r="E1025"/>
      <c r="F1025"/>
      <c r="G1025"/>
      <c r="H1025"/>
    </row>
    <row r="1026" spans="1:8" ht="15" customHeight="1">
      <c r="A1026"/>
      <c r="B1026"/>
      <c r="C1026"/>
      <c r="D1026"/>
      <c r="E1026"/>
      <c r="F1026"/>
      <c r="G1026"/>
      <c r="H1026"/>
    </row>
    <row r="1027" spans="1:8" ht="15" customHeight="1">
      <c r="A1027"/>
      <c r="B1027"/>
      <c r="C1027"/>
      <c r="D1027"/>
      <c r="E1027"/>
      <c r="F1027"/>
      <c r="G1027"/>
      <c r="H1027"/>
    </row>
    <row r="1028" spans="1:8" ht="15" customHeight="1">
      <c r="A1028"/>
      <c r="B1028"/>
      <c r="C1028"/>
      <c r="D1028"/>
      <c r="E1028"/>
      <c r="F1028"/>
      <c r="G1028"/>
      <c r="H1028"/>
    </row>
    <row r="1029" spans="1:8" ht="15" customHeight="1">
      <c r="A1029"/>
      <c r="B1029"/>
      <c r="C1029"/>
      <c r="D1029"/>
      <c r="E1029"/>
      <c r="F1029"/>
      <c r="G1029"/>
      <c r="H1029"/>
    </row>
    <row r="1030" spans="1:8" ht="15" customHeight="1">
      <c r="A1030"/>
      <c r="B1030"/>
      <c r="C1030"/>
      <c r="D1030"/>
      <c r="E1030"/>
      <c r="F1030"/>
      <c r="G1030"/>
      <c r="H1030"/>
    </row>
    <row r="1031" spans="1:8" ht="15" customHeight="1">
      <c r="A1031"/>
      <c r="B1031"/>
      <c r="C1031"/>
      <c r="D1031"/>
      <c r="E1031"/>
      <c r="F1031"/>
      <c r="G1031"/>
      <c r="H1031"/>
    </row>
    <row r="1032" spans="1:8" ht="15" customHeight="1">
      <c r="A1032"/>
      <c r="B1032"/>
      <c r="C1032"/>
      <c r="D1032"/>
      <c r="E1032"/>
      <c r="F1032"/>
      <c r="G1032"/>
      <c r="H1032"/>
    </row>
    <row r="1033" spans="1:8" ht="15" customHeight="1">
      <c r="A1033"/>
      <c r="B1033"/>
      <c r="C1033"/>
      <c r="D1033"/>
      <c r="E1033"/>
      <c r="F1033"/>
      <c r="G1033"/>
      <c r="H1033"/>
    </row>
    <row r="1034" spans="1:8" ht="15" customHeight="1">
      <c r="A1034"/>
      <c r="B1034"/>
      <c r="C1034"/>
      <c r="D1034"/>
      <c r="E1034"/>
      <c r="F1034"/>
      <c r="G1034"/>
      <c r="H1034"/>
    </row>
    <row r="1035" spans="1:8" ht="15" customHeight="1">
      <c r="A1035"/>
      <c r="B1035"/>
      <c r="C1035"/>
      <c r="D1035"/>
      <c r="E1035"/>
      <c r="F1035"/>
      <c r="G1035"/>
      <c r="H1035"/>
    </row>
    <row r="1036" spans="1:8" ht="15" customHeight="1">
      <c r="A1036"/>
      <c r="B1036"/>
      <c r="C1036"/>
      <c r="D1036"/>
      <c r="E1036"/>
      <c r="F1036"/>
      <c r="G1036"/>
      <c r="H1036"/>
    </row>
    <row r="1037" spans="1:8" ht="15" customHeight="1">
      <c r="A1037"/>
      <c r="B1037"/>
      <c r="C1037"/>
      <c r="D1037"/>
      <c r="E1037"/>
      <c r="F1037"/>
      <c r="G1037"/>
      <c r="H1037"/>
    </row>
    <row r="1038" spans="1:8" ht="15" customHeight="1">
      <c r="A1038"/>
      <c r="B1038"/>
      <c r="C1038"/>
      <c r="D1038"/>
      <c r="E1038"/>
      <c r="F1038"/>
      <c r="G1038"/>
      <c r="H1038"/>
    </row>
    <row r="1039" spans="1:8" ht="15" customHeight="1">
      <c r="A1039"/>
      <c r="B1039"/>
      <c r="C1039"/>
      <c r="D1039"/>
      <c r="E1039"/>
      <c r="F1039"/>
      <c r="G1039"/>
      <c r="H1039"/>
    </row>
    <row r="1040" spans="1:8" ht="15" customHeight="1">
      <c r="A1040"/>
      <c r="B1040"/>
      <c r="C1040"/>
      <c r="D1040"/>
      <c r="E1040"/>
      <c r="F1040"/>
      <c r="G1040"/>
      <c r="H1040"/>
    </row>
    <row r="1041" spans="1:8" ht="15" customHeight="1">
      <c r="A1041"/>
      <c r="B1041"/>
      <c r="C1041"/>
      <c r="D1041"/>
      <c r="E1041"/>
      <c r="F1041"/>
      <c r="G1041"/>
      <c r="H1041"/>
    </row>
    <row r="1042" spans="1:8" ht="15" customHeight="1">
      <c r="A1042"/>
      <c r="B1042"/>
      <c r="C1042"/>
      <c r="D1042"/>
      <c r="E1042"/>
      <c r="F1042"/>
      <c r="G1042"/>
      <c r="H1042"/>
    </row>
    <row r="1043" spans="1:8" ht="15" customHeight="1">
      <c r="A1043"/>
      <c r="B1043"/>
      <c r="C1043"/>
      <c r="D1043"/>
      <c r="E1043"/>
      <c r="F1043"/>
      <c r="G1043"/>
      <c r="H1043"/>
    </row>
    <row r="1044" spans="1:8" ht="15" customHeight="1">
      <c r="A1044"/>
      <c r="B1044"/>
      <c r="C1044"/>
      <c r="D1044"/>
      <c r="E1044"/>
      <c r="F1044"/>
      <c r="G1044"/>
      <c r="H1044"/>
    </row>
    <row r="1045" spans="1:8" ht="15" customHeight="1">
      <c r="A1045"/>
      <c r="B1045"/>
      <c r="C1045"/>
      <c r="D1045"/>
      <c r="E1045"/>
      <c r="F1045"/>
      <c r="G1045"/>
      <c r="H1045"/>
    </row>
    <row r="1046" spans="1:8" ht="15" customHeight="1">
      <c r="A1046"/>
      <c r="B1046"/>
      <c r="C1046"/>
      <c r="D1046"/>
      <c r="E1046"/>
      <c r="F1046"/>
      <c r="G1046"/>
      <c r="H1046"/>
    </row>
    <row r="1047" spans="1:8" ht="15" customHeight="1">
      <c r="A1047"/>
      <c r="B1047"/>
      <c r="C1047"/>
      <c r="D1047"/>
      <c r="E1047"/>
      <c r="F1047"/>
      <c r="G1047"/>
      <c r="H1047"/>
    </row>
    <row r="1048" spans="1:8" ht="15" customHeight="1">
      <c r="A1048"/>
      <c r="B1048"/>
      <c r="C1048"/>
      <c r="D1048"/>
      <c r="E1048"/>
      <c r="F1048"/>
      <c r="G1048"/>
      <c r="H1048"/>
    </row>
    <row r="1049" spans="1:8" ht="15" customHeight="1">
      <c r="A1049"/>
      <c r="B1049"/>
      <c r="C1049"/>
      <c r="D1049"/>
      <c r="E1049"/>
      <c r="F1049"/>
      <c r="G1049"/>
      <c r="H1049"/>
    </row>
    <row r="1050" spans="1:8" ht="15" customHeight="1">
      <c r="A1050"/>
      <c r="B1050"/>
      <c r="C1050"/>
      <c r="D1050"/>
      <c r="E1050"/>
      <c r="F1050"/>
      <c r="G1050"/>
      <c r="H1050"/>
    </row>
    <row r="1051" spans="1:8" ht="15" customHeight="1">
      <c r="A1051"/>
      <c r="B1051"/>
      <c r="C1051"/>
      <c r="D1051"/>
      <c r="E1051"/>
      <c r="F1051"/>
      <c r="G1051"/>
      <c r="H1051"/>
    </row>
    <row r="1052" spans="1:8" ht="15" customHeight="1">
      <c r="A1052"/>
      <c r="B1052"/>
      <c r="C1052"/>
      <c r="D1052"/>
      <c r="E1052"/>
      <c r="F1052"/>
      <c r="G1052"/>
      <c r="H1052"/>
    </row>
    <row r="1053" spans="1:8" ht="15" customHeight="1">
      <c r="A1053"/>
      <c r="B1053"/>
      <c r="C1053"/>
      <c r="D1053"/>
      <c r="E1053"/>
      <c r="F1053"/>
      <c r="G1053"/>
      <c r="H1053"/>
    </row>
    <row r="1054" spans="1:8" ht="15" customHeight="1">
      <c r="A1054"/>
      <c r="B1054"/>
      <c r="C1054"/>
      <c r="D1054"/>
      <c r="E1054"/>
      <c r="F1054"/>
      <c r="G1054"/>
      <c r="H1054"/>
    </row>
    <row r="1055" spans="1:8" ht="15" customHeight="1">
      <c r="A1055"/>
      <c r="B1055"/>
      <c r="C1055"/>
      <c r="D1055"/>
      <c r="E1055"/>
      <c r="F1055"/>
      <c r="G1055"/>
      <c r="H1055"/>
    </row>
    <row r="1056" spans="1:8" ht="15" customHeight="1">
      <c r="A1056"/>
      <c r="B1056"/>
      <c r="C1056"/>
      <c r="D1056"/>
      <c r="E1056"/>
      <c r="F1056"/>
      <c r="G1056"/>
      <c r="H1056"/>
    </row>
    <row r="1057" spans="1:8" ht="15" customHeight="1">
      <c r="A1057"/>
      <c r="B1057"/>
      <c r="C1057"/>
      <c r="D1057"/>
      <c r="E1057"/>
      <c r="F1057"/>
      <c r="G1057"/>
      <c r="H1057"/>
    </row>
    <row r="1058" spans="1:8" ht="15" customHeight="1">
      <c r="A1058"/>
      <c r="B1058"/>
      <c r="C1058"/>
      <c r="D1058"/>
      <c r="E1058"/>
      <c r="F1058"/>
      <c r="G1058"/>
      <c r="H1058"/>
    </row>
    <row r="1059" spans="1:8" ht="15" customHeight="1">
      <c r="A1059"/>
      <c r="B1059"/>
      <c r="C1059"/>
      <c r="D1059"/>
      <c r="E1059"/>
      <c r="F1059"/>
      <c r="G1059"/>
      <c r="H1059"/>
    </row>
    <row r="1060" spans="1:8" ht="15" customHeight="1">
      <c r="A1060"/>
      <c r="B1060"/>
      <c r="C1060"/>
      <c r="D1060"/>
      <c r="E1060"/>
      <c r="F1060"/>
      <c r="G1060"/>
      <c r="H1060"/>
    </row>
    <row r="1061" spans="1:8" ht="15" customHeight="1">
      <c r="A1061"/>
      <c r="B1061"/>
      <c r="C1061"/>
      <c r="D1061"/>
      <c r="E1061"/>
      <c r="F1061"/>
      <c r="G1061"/>
      <c r="H1061"/>
    </row>
    <row r="1062" spans="1:8" ht="15" customHeight="1">
      <c r="A1062"/>
      <c r="B1062"/>
      <c r="C1062"/>
      <c r="D1062"/>
      <c r="E1062"/>
      <c r="F1062"/>
      <c r="G1062"/>
      <c r="H1062"/>
    </row>
    <row r="1063" spans="1:8" ht="15" customHeight="1">
      <c r="A1063"/>
      <c r="B1063"/>
      <c r="C1063"/>
      <c r="D1063"/>
      <c r="E1063"/>
      <c r="F1063"/>
      <c r="G1063"/>
      <c r="H1063"/>
    </row>
    <row r="1064" spans="1:8" ht="15" customHeight="1">
      <c r="A1064"/>
      <c r="B1064"/>
      <c r="C1064"/>
      <c r="D1064"/>
      <c r="E1064"/>
      <c r="F1064"/>
      <c r="G1064"/>
      <c r="H1064"/>
    </row>
    <row r="1065" spans="1:8" ht="15" customHeight="1">
      <c r="A1065"/>
      <c r="B1065"/>
      <c r="C1065"/>
      <c r="D1065"/>
      <c r="E1065"/>
      <c r="F1065"/>
      <c r="G1065"/>
      <c r="H1065"/>
    </row>
    <row r="1066" spans="1:8" ht="15" customHeight="1">
      <c r="A1066"/>
      <c r="B1066"/>
      <c r="C1066"/>
      <c r="D1066"/>
      <c r="E1066"/>
      <c r="F1066"/>
      <c r="G1066"/>
      <c r="H1066"/>
    </row>
    <row r="1067" spans="1:8" ht="15" customHeight="1">
      <c r="A1067"/>
      <c r="B1067"/>
      <c r="C1067"/>
      <c r="D1067"/>
      <c r="E1067"/>
      <c r="F1067"/>
      <c r="G1067"/>
      <c r="H1067"/>
    </row>
    <row r="1068" spans="1:8" ht="15" customHeight="1">
      <c r="A1068"/>
      <c r="B1068"/>
      <c r="C1068"/>
      <c r="D1068"/>
      <c r="E1068"/>
      <c r="F1068"/>
      <c r="G1068"/>
      <c r="H1068"/>
    </row>
    <row r="1069" spans="1:8" ht="15" customHeight="1">
      <c r="A1069"/>
      <c r="B1069"/>
      <c r="C1069"/>
      <c r="D1069"/>
      <c r="E1069"/>
      <c r="F1069"/>
      <c r="G1069"/>
      <c r="H1069"/>
    </row>
    <row r="1070" spans="1:8" ht="15" customHeight="1">
      <c r="A1070"/>
      <c r="B1070"/>
      <c r="C1070"/>
      <c r="D1070"/>
      <c r="E1070"/>
      <c r="F1070"/>
      <c r="G1070"/>
      <c r="H1070"/>
    </row>
    <row r="1071" spans="1:8" ht="15" customHeight="1">
      <c r="A1071"/>
      <c r="B1071"/>
      <c r="C1071"/>
      <c r="D1071"/>
      <c r="E1071"/>
      <c r="F1071"/>
      <c r="G1071"/>
      <c r="H1071"/>
    </row>
    <row r="1072" spans="1:8" ht="15" customHeight="1">
      <c r="A1072"/>
      <c r="B1072"/>
      <c r="C1072"/>
      <c r="D1072"/>
      <c r="E1072"/>
      <c r="F1072"/>
      <c r="G1072"/>
      <c r="H1072"/>
    </row>
    <row r="1073" spans="1:8" ht="15" customHeight="1">
      <c r="A1073"/>
      <c r="B1073"/>
      <c r="C1073"/>
      <c r="D1073"/>
      <c r="E1073"/>
      <c r="F1073"/>
      <c r="G1073"/>
      <c r="H1073"/>
    </row>
    <row r="1074" spans="1:8" ht="15" customHeight="1">
      <c r="A1074"/>
      <c r="B1074"/>
      <c r="C1074"/>
      <c r="D1074"/>
      <c r="E1074"/>
      <c r="F1074"/>
      <c r="G1074"/>
      <c r="H1074"/>
    </row>
    <row r="1075" spans="1:8" ht="15" customHeight="1">
      <c r="A1075"/>
      <c r="B1075"/>
      <c r="C1075"/>
      <c r="D1075"/>
      <c r="E1075"/>
      <c r="F1075"/>
      <c r="G1075"/>
      <c r="H1075"/>
    </row>
    <row r="1076" spans="1:8" ht="15" customHeight="1">
      <c r="A1076"/>
      <c r="B1076"/>
      <c r="C1076"/>
      <c r="D1076"/>
      <c r="E1076"/>
      <c r="F1076"/>
      <c r="G1076"/>
      <c r="H1076"/>
    </row>
    <row r="1077" spans="1:8" ht="15" customHeight="1">
      <c r="A1077"/>
      <c r="B1077"/>
      <c r="C1077"/>
      <c r="D1077"/>
      <c r="E1077"/>
      <c r="F1077"/>
      <c r="G1077"/>
      <c r="H1077"/>
    </row>
    <row r="1078" spans="1:8" ht="15" customHeight="1">
      <c r="A1078"/>
      <c r="B1078"/>
      <c r="C1078"/>
      <c r="D1078"/>
      <c r="E1078"/>
      <c r="F1078"/>
      <c r="G1078"/>
      <c r="H1078"/>
    </row>
    <row r="1079" spans="1:8" ht="15" customHeight="1">
      <c r="A1079"/>
      <c r="B1079"/>
      <c r="C1079"/>
      <c r="D1079"/>
      <c r="E1079"/>
      <c r="F1079"/>
      <c r="G1079"/>
      <c r="H1079"/>
    </row>
    <row r="1080" spans="1:8" ht="15" customHeight="1">
      <c r="A1080"/>
      <c r="B1080"/>
      <c r="C1080"/>
      <c r="D1080"/>
      <c r="E1080"/>
      <c r="F1080"/>
      <c r="G1080"/>
      <c r="H1080"/>
    </row>
    <row r="1081" spans="1:8" ht="15" customHeight="1">
      <c r="A1081"/>
      <c r="B1081"/>
      <c r="C1081"/>
      <c r="D1081"/>
      <c r="E1081"/>
      <c r="F1081"/>
      <c r="G1081"/>
      <c r="H1081"/>
    </row>
    <row r="1082" spans="1:8" ht="15" customHeight="1">
      <c r="A1082"/>
      <c r="B1082"/>
      <c r="C1082"/>
      <c r="D1082"/>
      <c r="E1082"/>
      <c r="F1082"/>
      <c r="G1082"/>
      <c r="H1082"/>
    </row>
    <row r="1083" spans="1:8" ht="15" customHeight="1">
      <c r="A1083"/>
      <c r="B1083"/>
      <c r="C1083"/>
      <c r="D1083"/>
      <c r="E1083"/>
      <c r="F1083"/>
      <c r="G1083"/>
      <c r="H1083"/>
    </row>
    <row r="1084" spans="1:8" ht="15" customHeight="1">
      <c r="A1084"/>
      <c r="B1084"/>
      <c r="C1084"/>
      <c r="D1084"/>
      <c r="E1084"/>
      <c r="F1084"/>
      <c r="G1084"/>
      <c r="H1084"/>
    </row>
    <row r="1085" spans="1:8" ht="15" customHeight="1">
      <c r="A1085"/>
      <c r="B1085"/>
      <c r="C1085"/>
      <c r="D1085"/>
      <c r="E1085"/>
      <c r="F1085"/>
      <c r="G1085"/>
      <c r="H1085"/>
    </row>
    <row r="1086" spans="1:8" ht="15" customHeight="1">
      <c r="A1086"/>
      <c r="B1086"/>
      <c r="C1086"/>
      <c r="D1086"/>
      <c r="E1086"/>
      <c r="F1086"/>
      <c r="G1086"/>
      <c r="H1086"/>
    </row>
    <row r="1087" spans="1:8" ht="15" customHeight="1">
      <c r="A1087"/>
      <c r="B1087"/>
      <c r="C1087"/>
      <c r="D1087"/>
      <c r="E1087"/>
      <c r="F1087"/>
      <c r="G1087"/>
      <c r="H1087"/>
    </row>
    <row r="1088" spans="1:8" ht="15" customHeight="1">
      <c r="A1088"/>
      <c r="B1088"/>
      <c r="C1088"/>
      <c r="D1088"/>
      <c r="E1088"/>
      <c r="F1088"/>
      <c r="G1088"/>
      <c r="H1088"/>
    </row>
    <row r="1089" spans="1:8" ht="15" customHeight="1">
      <c r="A1089"/>
      <c r="B1089"/>
      <c r="C1089"/>
      <c r="D1089"/>
      <c r="E1089"/>
      <c r="F1089"/>
      <c r="G1089"/>
      <c r="H1089"/>
    </row>
    <row r="1090" spans="1:8" ht="15" customHeight="1">
      <c r="A1090"/>
      <c r="B1090"/>
      <c r="C1090"/>
      <c r="D1090"/>
      <c r="E1090"/>
      <c r="F1090"/>
      <c r="G1090"/>
      <c r="H1090"/>
    </row>
    <row r="1091" spans="1:8" ht="15" customHeight="1">
      <c r="A1091"/>
      <c r="B1091"/>
      <c r="C1091"/>
      <c r="D1091"/>
      <c r="E1091"/>
      <c r="F1091"/>
      <c r="G1091"/>
      <c r="H1091"/>
    </row>
    <row r="1092" spans="1:8" ht="15" customHeight="1">
      <c r="A1092"/>
      <c r="B1092"/>
      <c r="C1092"/>
      <c r="D1092"/>
      <c r="E1092"/>
      <c r="F1092"/>
      <c r="G1092"/>
      <c r="H1092"/>
    </row>
    <row r="1093" spans="1:8" ht="15" customHeight="1">
      <c r="A1093"/>
      <c r="B1093"/>
      <c r="C1093"/>
      <c r="D1093"/>
      <c r="E1093"/>
      <c r="F1093"/>
      <c r="G1093"/>
      <c r="H1093"/>
    </row>
    <row r="1094" spans="1:8" ht="15" customHeight="1">
      <c r="A1094"/>
      <c r="B1094"/>
      <c r="C1094"/>
      <c r="D1094"/>
      <c r="E1094"/>
      <c r="F1094"/>
      <c r="G1094"/>
      <c r="H1094"/>
    </row>
    <row r="1095" spans="1:8" ht="15" customHeight="1">
      <c r="A1095"/>
      <c r="B1095"/>
      <c r="C1095"/>
      <c r="D1095"/>
      <c r="E1095"/>
      <c r="F1095"/>
      <c r="G1095"/>
      <c r="H1095"/>
    </row>
    <row r="1096" spans="1:8" ht="15" customHeight="1">
      <c r="A1096"/>
      <c r="B1096"/>
      <c r="C1096"/>
      <c r="D1096"/>
      <c r="E1096"/>
      <c r="F1096"/>
      <c r="G1096"/>
      <c r="H1096"/>
    </row>
    <row r="1097" spans="1:8" ht="15" customHeight="1">
      <c r="A1097"/>
      <c r="B1097"/>
      <c r="C1097"/>
      <c r="D1097"/>
      <c r="E1097"/>
      <c r="F1097"/>
      <c r="G1097"/>
      <c r="H1097"/>
    </row>
    <row r="1098" spans="1:8" ht="15" customHeight="1">
      <c r="A1098"/>
      <c r="B1098"/>
      <c r="C1098"/>
      <c r="D1098"/>
      <c r="E1098"/>
      <c r="F1098"/>
      <c r="G1098"/>
      <c r="H1098"/>
    </row>
    <row r="1099" spans="1:8" ht="15" customHeight="1">
      <c r="A1099"/>
      <c r="B1099"/>
      <c r="C1099"/>
      <c r="D1099"/>
      <c r="E1099"/>
      <c r="F1099"/>
      <c r="G1099"/>
      <c r="H1099"/>
    </row>
    <row r="1100" spans="1:8" ht="15" customHeight="1">
      <c r="A1100"/>
      <c r="B1100"/>
      <c r="C1100"/>
      <c r="D1100"/>
      <c r="E1100"/>
      <c r="F1100"/>
      <c r="G1100"/>
      <c r="H1100"/>
    </row>
    <row r="1101" spans="1:8" ht="15" customHeight="1">
      <c r="A1101"/>
      <c r="B1101"/>
      <c r="C1101"/>
      <c r="D1101"/>
      <c r="E1101"/>
      <c r="F1101"/>
      <c r="G1101"/>
      <c r="H1101"/>
    </row>
    <row r="1102" spans="1:8" ht="15" customHeight="1">
      <c r="A1102"/>
      <c r="B1102"/>
      <c r="C1102"/>
      <c r="D1102"/>
      <c r="E1102"/>
      <c r="F1102"/>
      <c r="G1102"/>
      <c r="H1102"/>
    </row>
    <row r="1103" spans="1:8" ht="15" customHeight="1">
      <c r="A1103"/>
      <c r="B1103"/>
      <c r="C1103"/>
      <c r="D1103"/>
      <c r="E1103"/>
      <c r="F1103"/>
      <c r="G1103"/>
      <c r="H1103"/>
    </row>
    <row r="1104" spans="1:8" ht="15" customHeight="1">
      <c r="A1104"/>
      <c r="B1104"/>
      <c r="C1104"/>
      <c r="D1104"/>
      <c r="E1104"/>
      <c r="F1104"/>
      <c r="G1104"/>
      <c r="H1104"/>
    </row>
    <row r="1105" spans="1:8" ht="15" customHeight="1">
      <c r="A1105"/>
      <c r="B1105"/>
      <c r="C1105"/>
      <c r="D1105"/>
      <c r="E1105"/>
      <c r="F1105"/>
      <c r="G1105"/>
      <c r="H1105"/>
    </row>
    <row r="1106" spans="1:8" ht="15" customHeight="1">
      <c r="A1106"/>
      <c r="B1106"/>
      <c r="C1106"/>
      <c r="D1106"/>
      <c r="E1106"/>
      <c r="F1106"/>
      <c r="G1106"/>
      <c r="H1106"/>
    </row>
    <row r="1107" spans="1:8" ht="15" customHeight="1">
      <c r="A1107"/>
      <c r="B1107"/>
      <c r="C1107"/>
      <c r="D1107"/>
      <c r="E1107"/>
      <c r="F1107"/>
      <c r="G1107"/>
      <c r="H1107"/>
    </row>
    <row r="1108" spans="1:8" ht="15" customHeight="1">
      <c r="A1108"/>
      <c r="B1108"/>
      <c r="C1108"/>
      <c r="D1108"/>
      <c r="E1108"/>
      <c r="F1108"/>
      <c r="G1108"/>
      <c r="H1108"/>
    </row>
    <row r="1109" spans="1:8" ht="15" customHeight="1">
      <c r="A1109"/>
      <c r="B1109"/>
      <c r="C1109"/>
      <c r="D1109"/>
      <c r="E1109"/>
      <c r="F1109"/>
      <c r="G1109"/>
      <c r="H1109"/>
    </row>
    <row r="1110" spans="1:8" ht="15" customHeight="1">
      <c r="A1110"/>
      <c r="B1110"/>
      <c r="C1110"/>
      <c r="D1110"/>
      <c r="E1110"/>
      <c r="F1110"/>
      <c r="G1110"/>
      <c r="H1110"/>
    </row>
    <row r="1111" spans="1:8" ht="15" customHeight="1">
      <c r="A1111"/>
      <c r="B1111"/>
      <c r="C1111"/>
      <c r="D1111"/>
      <c r="E1111"/>
      <c r="F1111"/>
      <c r="G1111"/>
      <c r="H1111"/>
    </row>
    <row r="1112" spans="1:8" ht="15" customHeight="1">
      <c r="A1112"/>
      <c r="B1112"/>
      <c r="C1112"/>
      <c r="D1112"/>
      <c r="E1112"/>
      <c r="F1112"/>
      <c r="G1112"/>
      <c r="H1112"/>
    </row>
    <row r="1113" spans="1:8" ht="15" customHeight="1">
      <c r="A1113"/>
      <c r="B1113"/>
      <c r="C1113"/>
      <c r="D1113"/>
      <c r="E1113"/>
      <c r="F1113"/>
      <c r="G1113"/>
      <c r="H1113"/>
    </row>
    <row r="1114" spans="1:8" ht="15" customHeight="1">
      <c r="A1114"/>
      <c r="B1114"/>
      <c r="C1114"/>
      <c r="D1114"/>
      <c r="E1114"/>
      <c r="F1114"/>
      <c r="G1114"/>
      <c r="H1114"/>
    </row>
    <row r="1115" spans="1:8" ht="15" customHeight="1">
      <c r="A1115"/>
      <c r="B1115"/>
      <c r="C1115"/>
      <c r="D1115"/>
      <c r="E1115"/>
      <c r="F1115"/>
      <c r="G1115"/>
      <c r="H1115"/>
    </row>
    <row r="1116" spans="1:8" ht="15" customHeight="1">
      <c r="A1116"/>
      <c r="B1116"/>
      <c r="C1116"/>
      <c r="D1116"/>
      <c r="E1116"/>
      <c r="F1116"/>
      <c r="G1116"/>
      <c r="H1116"/>
    </row>
    <row r="1117" spans="1:8" ht="15" customHeight="1">
      <c r="A1117"/>
      <c r="B1117"/>
      <c r="C1117"/>
      <c r="D1117"/>
      <c r="E1117"/>
      <c r="F1117"/>
      <c r="G1117"/>
      <c r="H1117"/>
    </row>
    <row r="1118" spans="1:8" ht="15" customHeight="1">
      <c r="A1118"/>
      <c r="B1118"/>
      <c r="C1118"/>
      <c r="D1118"/>
      <c r="E1118"/>
      <c r="F1118"/>
      <c r="G1118"/>
      <c r="H1118"/>
    </row>
    <row r="1119" spans="1:8" ht="15" customHeight="1">
      <c r="A1119"/>
      <c r="B1119"/>
      <c r="C1119"/>
      <c r="D1119"/>
      <c r="E1119"/>
      <c r="F1119"/>
      <c r="G1119"/>
      <c r="H1119"/>
    </row>
    <row r="1120" spans="1:8" ht="15" customHeight="1">
      <c r="A1120"/>
      <c r="B1120"/>
      <c r="C1120"/>
      <c r="D1120"/>
      <c r="E1120"/>
      <c r="F1120"/>
      <c r="G1120"/>
      <c r="H1120"/>
    </row>
    <row r="1121" spans="1:8" ht="15" customHeight="1">
      <c r="A1121"/>
      <c r="B1121"/>
      <c r="C1121"/>
      <c r="D1121"/>
      <c r="E1121"/>
      <c r="F1121"/>
      <c r="G1121"/>
      <c r="H1121"/>
    </row>
    <row r="1122" spans="1:8" ht="15" customHeight="1">
      <c r="A1122"/>
      <c r="B1122"/>
      <c r="C1122"/>
      <c r="D1122"/>
      <c r="E1122"/>
      <c r="F1122"/>
      <c r="G1122"/>
      <c r="H1122"/>
    </row>
    <row r="1123" spans="1:8" ht="15" customHeight="1">
      <c r="A1123"/>
      <c r="B1123"/>
      <c r="C1123"/>
      <c r="D1123"/>
      <c r="E1123"/>
      <c r="F1123"/>
      <c r="G1123"/>
      <c r="H1123"/>
    </row>
    <row r="1124" spans="1:8" ht="15" customHeight="1">
      <c r="A1124"/>
      <c r="B1124"/>
      <c r="C1124"/>
      <c r="D1124"/>
      <c r="E1124"/>
      <c r="F1124"/>
      <c r="G1124"/>
      <c r="H1124"/>
    </row>
    <row r="1125" spans="1:8" ht="15" customHeight="1">
      <c r="A1125"/>
      <c r="B1125"/>
      <c r="C1125"/>
      <c r="D1125"/>
      <c r="E1125"/>
      <c r="F1125"/>
      <c r="G1125"/>
      <c r="H1125"/>
    </row>
    <row r="1126" spans="1:8" ht="15" customHeight="1">
      <c r="A1126"/>
      <c r="B1126"/>
      <c r="C1126"/>
      <c r="D1126"/>
      <c r="E1126"/>
      <c r="F1126"/>
      <c r="G1126"/>
      <c r="H1126"/>
    </row>
    <row r="1127" spans="1:8" ht="15" customHeight="1">
      <c r="A1127"/>
      <c r="B1127"/>
      <c r="C1127"/>
      <c r="D1127"/>
      <c r="E1127"/>
      <c r="F1127"/>
      <c r="G1127"/>
      <c r="H1127"/>
    </row>
    <row r="1128" spans="1:8" ht="15" customHeight="1">
      <c r="A1128"/>
      <c r="B1128"/>
      <c r="C1128"/>
      <c r="D1128"/>
      <c r="E1128"/>
      <c r="F1128"/>
      <c r="G1128"/>
      <c r="H1128"/>
    </row>
    <row r="1129" spans="1:8" ht="15" customHeight="1">
      <c r="A1129"/>
      <c r="B1129"/>
      <c r="C1129"/>
      <c r="D1129"/>
      <c r="E1129"/>
      <c r="F1129"/>
      <c r="G1129"/>
      <c r="H1129"/>
    </row>
    <row r="1130" spans="1:8" ht="15" customHeight="1">
      <c r="A1130"/>
      <c r="B1130"/>
      <c r="C1130"/>
      <c r="D1130"/>
      <c r="E1130"/>
      <c r="F1130"/>
      <c r="G1130"/>
      <c r="H1130"/>
    </row>
    <row r="1131" spans="1:8" ht="15" customHeight="1">
      <c r="A1131"/>
      <c r="B1131"/>
      <c r="C1131"/>
      <c r="D1131"/>
      <c r="E1131"/>
      <c r="F1131"/>
      <c r="G1131"/>
      <c r="H1131"/>
    </row>
    <row r="1132" spans="1:8" ht="15" customHeight="1">
      <c r="A1132"/>
      <c r="B1132"/>
      <c r="C1132"/>
      <c r="D1132"/>
      <c r="E1132"/>
      <c r="F1132"/>
      <c r="G1132"/>
      <c r="H1132"/>
    </row>
    <row r="1133" spans="1:8" ht="15" customHeight="1">
      <c r="A1133"/>
      <c r="B1133"/>
      <c r="C1133"/>
      <c r="D1133"/>
      <c r="E1133"/>
      <c r="F1133"/>
      <c r="G1133"/>
      <c r="H1133"/>
    </row>
    <row r="1134" spans="1:8" ht="15" customHeight="1">
      <c r="A1134"/>
      <c r="B1134"/>
      <c r="C1134"/>
      <c r="D1134"/>
      <c r="E1134"/>
      <c r="F1134"/>
      <c r="G1134"/>
      <c r="H1134"/>
    </row>
    <row r="1135" spans="1:8" ht="15" customHeight="1">
      <c r="A1135"/>
      <c r="B1135"/>
      <c r="C1135"/>
      <c r="D1135"/>
      <c r="E1135"/>
      <c r="F1135"/>
      <c r="G1135"/>
      <c r="H1135"/>
    </row>
    <row r="1136" spans="1:8" ht="15" customHeight="1">
      <c r="A1136"/>
      <c r="B1136"/>
      <c r="C1136"/>
      <c r="D1136"/>
      <c r="E1136"/>
      <c r="F1136"/>
      <c r="G1136"/>
      <c r="H1136"/>
    </row>
    <row r="1137" spans="1:8" ht="15" customHeight="1">
      <c r="A1137"/>
      <c r="B1137"/>
      <c r="C1137"/>
      <c r="D1137"/>
      <c r="E1137"/>
      <c r="F1137"/>
      <c r="G1137"/>
      <c r="H1137"/>
    </row>
    <row r="1138" spans="1:8" ht="15" customHeight="1">
      <c r="A1138"/>
      <c r="B1138"/>
      <c r="C1138"/>
      <c r="D1138"/>
      <c r="E1138"/>
      <c r="F1138"/>
      <c r="G1138"/>
      <c r="H1138"/>
    </row>
    <row r="1139" spans="1:8" ht="15" customHeight="1">
      <c r="A1139"/>
      <c r="B1139"/>
      <c r="C1139"/>
      <c r="D1139"/>
      <c r="E1139"/>
      <c r="F1139"/>
      <c r="G1139"/>
      <c r="H1139"/>
    </row>
    <row r="1140" spans="1:8" ht="15" customHeight="1">
      <c r="A1140"/>
      <c r="B1140"/>
      <c r="C1140"/>
      <c r="D1140"/>
      <c r="E1140"/>
      <c r="F1140"/>
      <c r="G1140"/>
      <c r="H1140"/>
    </row>
    <row r="1141" spans="1:8" ht="15" customHeight="1">
      <c r="A1141"/>
      <c r="B1141"/>
      <c r="C1141"/>
      <c r="D1141"/>
      <c r="E1141"/>
      <c r="F1141"/>
      <c r="G1141"/>
      <c r="H1141"/>
    </row>
    <row r="1142" spans="1:8" ht="15" customHeight="1">
      <c r="A1142"/>
      <c r="B1142"/>
      <c r="C1142"/>
      <c r="D1142"/>
      <c r="E1142"/>
      <c r="F1142"/>
      <c r="G1142"/>
      <c r="H1142"/>
    </row>
    <row r="1143" spans="1:8" ht="15" customHeight="1">
      <c r="A1143"/>
      <c r="B1143"/>
      <c r="C1143"/>
      <c r="D1143"/>
      <c r="E1143"/>
      <c r="F1143"/>
      <c r="G1143"/>
      <c r="H1143"/>
    </row>
    <row r="1144" spans="1:8" ht="15" customHeight="1">
      <c r="A1144"/>
      <c r="B1144"/>
      <c r="C1144"/>
      <c r="D1144"/>
      <c r="E1144"/>
      <c r="F1144"/>
      <c r="G1144"/>
      <c r="H1144"/>
    </row>
    <row r="1145" spans="1:8" ht="15" customHeight="1">
      <c r="A1145"/>
      <c r="B1145"/>
      <c r="C1145"/>
      <c r="D1145"/>
      <c r="E1145"/>
      <c r="F1145"/>
      <c r="G1145"/>
      <c r="H1145"/>
    </row>
    <row r="1146" spans="1:8" ht="15" customHeight="1">
      <c r="A1146"/>
      <c r="B1146"/>
      <c r="C1146"/>
      <c r="D1146"/>
      <c r="E1146"/>
      <c r="F1146"/>
      <c r="G1146"/>
      <c r="H1146"/>
    </row>
    <row r="1147" spans="1:8" ht="15" customHeight="1">
      <c r="A1147"/>
      <c r="B1147"/>
      <c r="C1147"/>
      <c r="D1147"/>
      <c r="E1147"/>
      <c r="F1147"/>
      <c r="G1147"/>
      <c r="H1147"/>
    </row>
    <row r="1148" spans="1:8" ht="15" customHeight="1">
      <c r="A1148"/>
      <c r="B1148"/>
      <c r="C1148"/>
      <c r="D1148"/>
      <c r="E1148"/>
      <c r="F1148"/>
      <c r="G1148"/>
      <c r="H1148"/>
    </row>
    <row r="1149" spans="1:8" ht="15" customHeight="1">
      <c r="A1149"/>
      <c r="B1149"/>
      <c r="C1149"/>
      <c r="D1149"/>
      <c r="E1149"/>
      <c r="F1149"/>
      <c r="G1149"/>
      <c r="H1149"/>
    </row>
    <row r="1150" spans="1:8" ht="15" customHeight="1">
      <c r="A1150"/>
      <c r="B1150"/>
      <c r="C1150"/>
      <c r="D1150"/>
      <c r="E1150"/>
      <c r="F1150"/>
      <c r="G1150"/>
      <c r="H1150"/>
    </row>
    <row r="1151" spans="1:8" ht="15" customHeight="1">
      <c r="A1151"/>
      <c r="B1151"/>
      <c r="C1151"/>
      <c r="D1151"/>
      <c r="E1151"/>
      <c r="F1151"/>
      <c r="G1151"/>
      <c r="H1151"/>
    </row>
    <row r="1152" spans="1:8" ht="15" customHeight="1">
      <c r="A1152"/>
      <c r="B1152"/>
      <c r="C1152"/>
      <c r="D1152"/>
      <c r="E1152"/>
      <c r="F1152"/>
      <c r="G1152"/>
      <c r="H1152"/>
    </row>
    <row r="1153" spans="1:8" ht="15" customHeight="1">
      <c r="A1153"/>
      <c r="B1153"/>
      <c r="C1153"/>
      <c r="D1153"/>
      <c r="E1153"/>
      <c r="F1153"/>
      <c r="G1153"/>
      <c r="H1153"/>
    </row>
    <row r="1154" spans="1:8" ht="15" customHeight="1">
      <c r="A1154"/>
      <c r="B1154"/>
      <c r="C1154"/>
      <c r="D1154"/>
      <c r="E1154"/>
      <c r="F1154"/>
      <c r="G1154"/>
      <c r="H1154"/>
    </row>
    <row r="1155" spans="1:8" ht="15" customHeight="1">
      <c r="A1155"/>
      <c r="B1155"/>
      <c r="C1155"/>
      <c r="D1155"/>
      <c r="E1155"/>
      <c r="F1155"/>
      <c r="G1155"/>
      <c r="H1155"/>
    </row>
    <row r="1156" spans="1:8" ht="15" customHeight="1">
      <c r="A1156"/>
      <c r="B1156"/>
      <c r="C1156"/>
      <c r="D1156"/>
      <c r="E1156"/>
      <c r="F1156"/>
      <c r="G1156"/>
      <c r="H1156"/>
    </row>
    <row r="1157" spans="1:8" ht="15" customHeight="1">
      <c r="A1157"/>
      <c r="B1157"/>
      <c r="C1157"/>
      <c r="D1157"/>
      <c r="E1157"/>
      <c r="F1157"/>
      <c r="G1157"/>
      <c r="H1157"/>
    </row>
    <row r="1158" spans="1:8" ht="15" customHeight="1">
      <c r="A1158"/>
      <c r="B1158"/>
      <c r="C1158"/>
      <c r="D1158"/>
      <c r="E1158"/>
      <c r="F1158"/>
      <c r="G1158"/>
      <c r="H1158"/>
    </row>
    <row r="1159" spans="1:8" ht="15" customHeight="1">
      <c r="A1159"/>
      <c r="B1159"/>
      <c r="C1159"/>
      <c r="D1159"/>
      <c r="E1159"/>
      <c r="F1159"/>
      <c r="G1159"/>
      <c r="H1159"/>
    </row>
    <row r="1160" spans="1:8" ht="15" customHeight="1">
      <c r="A1160"/>
      <c r="B1160"/>
      <c r="C1160"/>
      <c r="D1160"/>
      <c r="E1160"/>
      <c r="F1160"/>
      <c r="G1160"/>
      <c r="H1160"/>
    </row>
    <row r="1161" spans="1:8" ht="15" customHeight="1">
      <c r="A1161"/>
      <c r="B1161"/>
      <c r="C1161"/>
      <c r="D1161"/>
      <c r="E1161"/>
      <c r="F1161"/>
      <c r="G1161"/>
      <c r="H1161"/>
    </row>
    <row r="1162" spans="1:8" ht="15" customHeight="1">
      <c r="A1162"/>
      <c r="B1162"/>
      <c r="C1162"/>
      <c r="D1162"/>
      <c r="E1162"/>
      <c r="F1162"/>
      <c r="G1162"/>
      <c r="H1162"/>
    </row>
    <row r="1163" spans="1:8" ht="15" customHeight="1">
      <c r="A1163"/>
      <c r="B1163"/>
      <c r="C1163"/>
      <c r="D1163"/>
      <c r="E1163"/>
      <c r="F1163"/>
      <c r="G1163"/>
      <c r="H1163"/>
    </row>
    <row r="1164" spans="1:8" ht="15" customHeight="1">
      <c r="A1164"/>
      <c r="B1164"/>
      <c r="C1164"/>
      <c r="D1164"/>
      <c r="E1164"/>
      <c r="F1164"/>
      <c r="G1164"/>
      <c r="H1164"/>
    </row>
    <row r="1165" spans="1:8" ht="15" customHeight="1">
      <c r="A1165"/>
      <c r="B1165"/>
      <c r="C1165"/>
      <c r="D1165"/>
      <c r="E1165"/>
      <c r="F1165"/>
      <c r="G1165"/>
      <c r="H1165"/>
    </row>
    <row r="1166" spans="1:8" ht="15" customHeight="1">
      <c r="A1166"/>
      <c r="B1166"/>
      <c r="C1166"/>
      <c r="D1166"/>
      <c r="E1166"/>
      <c r="F1166"/>
      <c r="G1166"/>
      <c r="H1166"/>
    </row>
    <row r="1167" spans="1:8" ht="15" customHeight="1">
      <c r="A1167"/>
      <c r="B1167"/>
      <c r="C1167"/>
      <c r="D1167"/>
      <c r="E1167"/>
      <c r="F1167"/>
      <c r="G1167"/>
      <c r="H1167"/>
    </row>
    <row r="1168" spans="1:8" ht="15" customHeight="1">
      <c r="A1168"/>
      <c r="B1168"/>
      <c r="C1168"/>
      <c r="D1168"/>
      <c r="E1168"/>
      <c r="F1168"/>
      <c r="G1168"/>
      <c r="H1168"/>
    </row>
    <row r="1169" spans="1:8" ht="15" customHeight="1">
      <c r="A1169"/>
      <c r="B1169"/>
      <c r="C1169"/>
      <c r="D1169"/>
      <c r="E1169"/>
      <c r="F1169"/>
      <c r="G1169"/>
      <c r="H1169"/>
    </row>
    <row r="1170" spans="1:8" ht="15" customHeight="1">
      <c r="A1170"/>
      <c r="B1170"/>
      <c r="C1170"/>
      <c r="D1170"/>
      <c r="E1170"/>
      <c r="F1170"/>
      <c r="G1170"/>
      <c r="H1170"/>
    </row>
    <row r="1171" spans="1:8" ht="15" customHeight="1">
      <c r="A1171"/>
      <c r="B1171"/>
      <c r="C1171"/>
      <c r="D1171"/>
      <c r="E1171"/>
      <c r="F1171"/>
      <c r="G1171"/>
      <c r="H1171"/>
    </row>
    <row r="1172" spans="1:8" ht="15" customHeight="1">
      <c r="A1172"/>
      <c r="B1172"/>
      <c r="C1172"/>
      <c r="D1172"/>
      <c r="E1172"/>
      <c r="F1172"/>
      <c r="G1172"/>
      <c r="H1172"/>
    </row>
    <row r="1173" spans="1:8" ht="15" customHeight="1">
      <c r="A1173"/>
      <c r="B1173"/>
      <c r="C1173"/>
      <c r="D1173"/>
      <c r="E1173"/>
      <c r="F1173"/>
      <c r="G1173"/>
      <c r="H1173"/>
    </row>
    <row r="1174" spans="1:8" ht="15" customHeight="1">
      <c r="A1174"/>
      <c r="B1174"/>
      <c r="C1174"/>
      <c r="D1174"/>
      <c r="E1174"/>
      <c r="F1174"/>
      <c r="G1174"/>
      <c r="H1174"/>
    </row>
    <row r="1175" spans="1:8" ht="15" customHeight="1">
      <c r="A1175"/>
      <c r="B1175"/>
      <c r="C1175"/>
      <c r="D1175"/>
      <c r="E1175"/>
      <c r="F1175"/>
      <c r="G1175"/>
      <c r="H1175"/>
    </row>
    <row r="1176" spans="1:8" ht="15" customHeight="1">
      <c r="A1176"/>
      <c r="B1176"/>
      <c r="C1176"/>
      <c r="D1176"/>
      <c r="E1176"/>
      <c r="F1176"/>
      <c r="G1176"/>
      <c r="H1176"/>
    </row>
    <row r="1177" spans="1:8" ht="15" customHeight="1">
      <c r="A1177"/>
      <c r="B1177"/>
      <c r="C1177"/>
      <c r="D1177"/>
      <c r="E1177"/>
      <c r="F1177"/>
      <c r="G1177"/>
      <c r="H1177"/>
    </row>
    <row r="1178" spans="1:8" ht="15" customHeight="1">
      <c r="A1178"/>
      <c r="B1178"/>
      <c r="C1178"/>
      <c r="D1178"/>
      <c r="E1178"/>
      <c r="F1178"/>
      <c r="G1178"/>
      <c r="H1178"/>
    </row>
    <row r="1179" spans="1:8" ht="15" customHeight="1">
      <c r="A1179"/>
      <c r="B1179"/>
      <c r="C1179"/>
      <c r="D1179"/>
      <c r="E1179"/>
      <c r="F1179"/>
      <c r="G1179"/>
      <c r="H1179"/>
    </row>
    <row r="1180" spans="1:8" ht="15" customHeight="1">
      <c r="A1180"/>
      <c r="B1180"/>
      <c r="C1180"/>
      <c r="D1180"/>
      <c r="E1180"/>
      <c r="F1180"/>
      <c r="G1180"/>
      <c r="H1180"/>
    </row>
    <row r="1181" spans="1:8" ht="15" customHeight="1">
      <c r="A1181"/>
      <c r="B1181"/>
      <c r="C1181"/>
      <c r="D1181"/>
      <c r="E1181"/>
      <c r="F1181"/>
      <c r="G1181"/>
      <c r="H1181"/>
    </row>
    <row r="1182" spans="1:8" ht="15" customHeight="1">
      <c r="A1182"/>
      <c r="B1182"/>
      <c r="C1182"/>
      <c r="D1182"/>
      <c r="E1182"/>
      <c r="F1182"/>
      <c r="G1182"/>
      <c r="H1182"/>
    </row>
    <row r="1183" spans="1:8" ht="15" customHeight="1">
      <c r="A1183"/>
      <c r="B1183"/>
      <c r="C1183"/>
      <c r="D1183"/>
      <c r="E1183"/>
      <c r="F1183"/>
      <c r="G1183"/>
      <c r="H1183"/>
    </row>
    <row r="1184" spans="1:8" ht="15" customHeight="1">
      <c r="A1184"/>
      <c r="B1184"/>
      <c r="C1184"/>
      <c r="D1184"/>
      <c r="E1184"/>
      <c r="F1184"/>
      <c r="G1184"/>
      <c r="H1184"/>
    </row>
    <row r="1185" spans="1:8" ht="15" customHeight="1">
      <c r="A1185"/>
      <c r="B1185"/>
      <c r="C1185"/>
      <c r="D1185"/>
      <c r="E1185"/>
      <c r="F1185"/>
      <c r="G1185"/>
      <c r="H1185"/>
    </row>
    <row r="1186" spans="1:8" ht="15" customHeight="1">
      <c r="A1186"/>
      <c r="B1186"/>
      <c r="C1186"/>
      <c r="D1186"/>
      <c r="E1186"/>
      <c r="F1186"/>
      <c r="G1186"/>
      <c r="H1186"/>
    </row>
    <row r="1187" spans="1:8" ht="15" customHeight="1">
      <c r="A1187"/>
      <c r="B1187"/>
      <c r="C1187"/>
      <c r="D1187"/>
      <c r="E1187"/>
      <c r="F1187"/>
      <c r="G1187"/>
      <c r="H1187"/>
    </row>
    <row r="1188" spans="1:8" ht="15" customHeight="1">
      <c r="A1188"/>
      <c r="B1188"/>
      <c r="C1188"/>
      <c r="D1188"/>
      <c r="E1188"/>
      <c r="F1188"/>
      <c r="G1188"/>
      <c r="H1188"/>
    </row>
    <row r="1189" spans="1:8" ht="15" customHeight="1">
      <c r="A1189"/>
      <c r="B1189"/>
      <c r="C1189"/>
      <c r="D1189"/>
      <c r="E1189"/>
      <c r="F1189"/>
      <c r="G1189"/>
      <c r="H1189"/>
    </row>
    <row r="1190" spans="1:8" ht="15" customHeight="1">
      <c r="A1190"/>
      <c r="B1190"/>
      <c r="C1190"/>
      <c r="D1190"/>
      <c r="E1190"/>
      <c r="F1190"/>
      <c r="G1190"/>
      <c r="H1190"/>
    </row>
    <row r="1191" spans="1:8" ht="15" customHeight="1">
      <c r="A1191"/>
      <c r="B1191"/>
      <c r="C1191"/>
      <c r="D1191"/>
      <c r="E1191"/>
      <c r="F1191"/>
      <c r="G1191"/>
      <c r="H1191"/>
    </row>
    <row r="1192" spans="1:8" ht="15" customHeight="1">
      <c r="A1192"/>
      <c r="B1192"/>
      <c r="C1192"/>
      <c r="D1192"/>
      <c r="E1192"/>
      <c r="F1192"/>
      <c r="G1192"/>
      <c r="H1192"/>
    </row>
    <row r="1193" spans="1:8" ht="15" customHeight="1">
      <c r="A1193"/>
      <c r="B1193"/>
      <c r="C1193"/>
      <c r="D1193"/>
      <c r="E1193"/>
      <c r="F1193"/>
      <c r="G1193"/>
      <c r="H1193"/>
    </row>
    <row r="1194" spans="1:8" ht="15" customHeight="1">
      <c r="A1194"/>
      <c r="B1194"/>
      <c r="C1194"/>
      <c r="D1194"/>
      <c r="E1194"/>
      <c r="F1194"/>
      <c r="G1194"/>
      <c r="H1194"/>
    </row>
    <row r="1195" spans="1:8" ht="15" customHeight="1">
      <c r="A1195"/>
      <c r="B1195"/>
      <c r="C1195"/>
      <c r="D1195"/>
      <c r="E1195"/>
      <c r="F1195"/>
      <c r="G1195"/>
      <c r="H1195"/>
    </row>
    <row r="1196" spans="1:8" ht="15" customHeight="1">
      <c r="A1196"/>
      <c r="B1196"/>
      <c r="C1196"/>
      <c r="D1196"/>
      <c r="E1196"/>
      <c r="F1196"/>
      <c r="G1196"/>
      <c r="H1196"/>
    </row>
    <row r="1197" spans="1:8" ht="15" customHeight="1">
      <c r="A1197"/>
      <c r="B1197"/>
      <c r="C1197"/>
      <c r="D1197"/>
      <c r="E1197"/>
      <c r="F1197"/>
      <c r="G1197"/>
      <c r="H1197"/>
    </row>
    <row r="1198" spans="1:8" ht="15" customHeight="1">
      <c r="A1198"/>
      <c r="B1198"/>
      <c r="C1198"/>
      <c r="D1198"/>
      <c r="E1198"/>
      <c r="F1198"/>
      <c r="G1198"/>
      <c r="H1198"/>
    </row>
    <row r="1199" spans="1:8" ht="15" customHeight="1">
      <c r="A1199"/>
      <c r="B1199"/>
      <c r="C1199"/>
      <c r="D1199"/>
      <c r="E1199"/>
      <c r="F1199"/>
      <c r="G1199"/>
      <c r="H1199"/>
    </row>
    <row r="1200" spans="1:8" ht="15" customHeight="1">
      <c r="A1200"/>
      <c r="B1200"/>
      <c r="C1200"/>
      <c r="D1200"/>
      <c r="E1200"/>
      <c r="F1200"/>
      <c r="G1200"/>
      <c r="H1200"/>
    </row>
    <row r="1201" spans="1:8" ht="15" customHeight="1">
      <c r="A1201"/>
      <c r="B1201"/>
      <c r="C1201"/>
      <c r="D1201"/>
      <c r="E1201"/>
      <c r="F1201"/>
      <c r="G1201"/>
      <c r="H1201"/>
    </row>
    <row r="1202" spans="1:8" ht="15" customHeight="1">
      <c r="A1202"/>
      <c r="B1202"/>
      <c r="C1202"/>
      <c r="D1202"/>
      <c r="E1202"/>
      <c r="F1202"/>
      <c r="G1202"/>
      <c r="H1202"/>
    </row>
    <row r="1203" spans="1:8" ht="15" customHeight="1">
      <c r="A1203"/>
      <c r="B1203"/>
      <c r="C1203"/>
      <c r="D1203"/>
      <c r="E1203"/>
      <c r="F1203"/>
      <c r="G1203"/>
      <c r="H1203"/>
    </row>
    <row r="1204" spans="1:8" ht="15" customHeight="1">
      <c r="A1204"/>
      <c r="B1204"/>
      <c r="C1204"/>
      <c r="D1204"/>
      <c r="E1204"/>
      <c r="F1204"/>
      <c r="G1204"/>
      <c r="H1204"/>
    </row>
    <row r="1205" spans="1:8" ht="15" customHeight="1">
      <c r="A1205"/>
      <c r="B1205"/>
      <c r="C1205"/>
      <c r="D1205"/>
      <c r="E1205"/>
      <c r="F1205"/>
      <c r="G1205"/>
      <c r="H1205"/>
    </row>
    <row r="1206" spans="1:8" ht="15" customHeight="1">
      <c r="A1206"/>
      <c r="B1206"/>
      <c r="C1206"/>
      <c r="D1206"/>
      <c r="E1206"/>
      <c r="F1206"/>
      <c r="G1206"/>
      <c r="H1206"/>
    </row>
    <row r="1207" spans="1:8" ht="15" customHeight="1">
      <c r="A1207"/>
      <c r="B1207"/>
      <c r="C1207"/>
      <c r="D1207"/>
      <c r="E1207"/>
      <c r="F1207"/>
      <c r="G1207"/>
      <c r="H1207"/>
    </row>
    <row r="1208" spans="1:8" ht="15" customHeight="1">
      <c r="A1208"/>
      <c r="B1208"/>
      <c r="C1208"/>
      <c r="D1208"/>
      <c r="E1208"/>
      <c r="F1208"/>
      <c r="G1208"/>
      <c r="H1208"/>
    </row>
    <row r="1209" spans="1:8" ht="15" customHeight="1">
      <c r="A1209"/>
      <c r="B1209"/>
      <c r="C1209"/>
      <c r="D1209"/>
      <c r="E1209"/>
      <c r="F1209"/>
      <c r="G1209"/>
      <c r="H1209"/>
    </row>
    <row r="1210" spans="1:8" ht="15" customHeight="1">
      <c r="A1210"/>
      <c r="B1210"/>
      <c r="C1210"/>
      <c r="D1210"/>
      <c r="E1210"/>
      <c r="F1210"/>
      <c r="G1210"/>
      <c r="H1210"/>
    </row>
    <row r="1211" spans="1:8" ht="15" customHeight="1">
      <c r="A1211"/>
      <c r="B1211"/>
      <c r="C1211"/>
      <c r="D1211"/>
      <c r="E1211"/>
      <c r="F1211"/>
      <c r="G1211"/>
      <c r="H1211"/>
    </row>
    <row r="1212" spans="1:8" ht="15" customHeight="1">
      <c r="A1212"/>
      <c r="B1212"/>
      <c r="C1212"/>
      <c r="D1212"/>
      <c r="E1212"/>
      <c r="F1212"/>
      <c r="G1212"/>
      <c r="H1212"/>
    </row>
    <row r="1213" spans="1:8" ht="15" customHeight="1">
      <c r="A1213"/>
      <c r="B1213"/>
      <c r="C1213"/>
      <c r="D1213"/>
      <c r="E1213"/>
      <c r="F1213"/>
      <c r="G1213"/>
      <c r="H1213"/>
    </row>
    <row r="1214" spans="1:8" ht="15" customHeight="1">
      <c r="A1214"/>
      <c r="B1214"/>
      <c r="C1214"/>
      <c r="D1214"/>
      <c r="E1214"/>
      <c r="F1214"/>
      <c r="G1214"/>
      <c r="H1214"/>
    </row>
    <row r="1215" spans="1:8" ht="15" customHeight="1">
      <c r="A1215"/>
      <c r="B1215"/>
      <c r="C1215"/>
      <c r="D1215"/>
      <c r="E1215"/>
      <c r="F1215"/>
      <c r="G1215"/>
      <c r="H1215"/>
    </row>
    <row r="1216" spans="1:8" ht="15" customHeight="1">
      <c r="A1216"/>
      <c r="B1216"/>
      <c r="C1216"/>
      <c r="D1216"/>
      <c r="E1216"/>
      <c r="F1216"/>
      <c r="G1216"/>
      <c r="H1216"/>
    </row>
    <row r="1217" spans="1:8" ht="15" customHeight="1">
      <c r="A1217"/>
      <c r="B1217"/>
      <c r="C1217"/>
      <c r="D1217"/>
      <c r="E1217"/>
      <c r="F1217"/>
      <c r="G1217"/>
      <c r="H1217"/>
    </row>
    <row r="1218" spans="1:8" ht="15" customHeight="1">
      <c r="A1218"/>
      <c r="B1218"/>
      <c r="C1218"/>
      <c r="D1218"/>
      <c r="E1218"/>
      <c r="F1218"/>
      <c r="G1218"/>
      <c r="H1218"/>
    </row>
    <row r="1219" spans="1:8" ht="15" customHeight="1">
      <c r="A1219"/>
      <c r="B1219"/>
      <c r="C1219"/>
      <c r="D1219"/>
      <c r="E1219"/>
      <c r="F1219"/>
      <c r="G1219"/>
      <c r="H1219"/>
    </row>
    <row r="1220" spans="1:8" ht="15" customHeight="1">
      <c r="A1220"/>
      <c r="B1220"/>
      <c r="C1220"/>
      <c r="D1220"/>
      <c r="E1220"/>
      <c r="F1220"/>
      <c r="G1220"/>
      <c r="H1220"/>
    </row>
    <row r="1221" spans="1:8" ht="15" customHeight="1">
      <c r="A1221"/>
      <c r="B1221"/>
      <c r="C1221"/>
      <c r="D1221"/>
      <c r="E1221"/>
      <c r="F1221"/>
      <c r="G1221"/>
      <c r="H1221"/>
    </row>
    <row r="1222" spans="1:8" ht="15" customHeight="1">
      <c r="A1222"/>
      <c r="B1222"/>
      <c r="C1222"/>
      <c r="D1222"/>
      <c r="E1222"/>
      <c r="F1222"/>
      <c r="G1222"/>
      <c r="H1222"/>
    </row>
    <row r="1223" spans="1:8" ht="15" customHeight="1">
      <c r="A1223"/>
      <c r="B1223"/>
      <c r="C1223"/>
      <c r="D1223"/>
      <c r="E1223"/>
      <c r="F1223"/>
      <c r="G1223"/>
      <c r="H1223"/>
    </row>
    <row r="1224" spans="1:8" ht="15" customHeight="1">
      <c r="A1224"/>
      <c r="B1224"/>
      <c r="C1224"/>
      <c r="D1224"/>
      <c r="E1224"/>
      <c r="F1224"/>
      <c r="G1224"/>
      <c r="H1224"/>
    </row>
    <row r="1225" spans="1:8" ht="15" customHeight="1">
      <c r="A1225"/>
      <c r="B1225"/>
      <c r="C1225"/>
      <c r="D1225"/>
      <c r="E1225"/>
      <c r="F1225"/>
      <c r="G1225"/>
      <c r="H1225"/>
    </row>
    <row r="1226" spans="1:8" ht="15" customHeight="1">
      <c r="A1226"/>
      <c r="B1226"/>
      <c r="C1226"/>
      <c r="D1226"/>
      <c r="E1226"/>
      <c r="F1226"/>
      <c r="G1226"/>
      <c r="H1226"/>
    </row>
    <row r="1227" spans="1:8" ht="15" customHeight="1">
      <c r="A1227"/>
      <c r="B1227"/>
      <c r="C1227"/>
      <c r="D1227"/>
      <c r="E1227"/>
      <c r="F1227"/>
      <c r="G1227"/>
      <c r="H1227"/>
    </row>
    <row r="1228" spans="1:8" ht="15" customHeight="1">
      <c r="A1228"/>
      <c r="B1228"/>
      <c r="C1228"/>
      <c r="D1228"/>
      <c r="E1228"/>
      <c r="F1228"/>
      <c r="G1228"/>
      <c r="H1228"/>
    </row>
    <row r="1229" spans="1:8" ht="15" customHeight="1">
      <c r="A1229"/>
      <c r="B1229"/>
      <c r="C1229"/>
      <c r="D1229"/>
      <c r="E1229"/>
      <c r="F1229"/>
      <c r="G1229"/>
      <c r="H1229"/>
    </row>
    <row r="1230" spans="1:8" ht="15" customHeight="1">
      <c r="A1230"/>
      <c r="B1230"/>
      <c r="C1230"/>
      <c r="D1230"/>
      <c r="E1230"/>
      <c r="F1230"/>
      <c r="G1230"/>
      <c r="H1230"/>
    </row>
    <row r="1231" spans="1:8" ht="15" customHeight="1">
      <c r="A1231"/>
      <c r="B1231"/>
      <c r="C1231"/>
      <c r="D1231"/>
      <c r="E1231"/>
      <c r="F1231"/>
      <c r="G1231"/>
      <c r="H1231"/>
    </row>
    <row r="1232" spans="1:8" ht="15" customHeight="1">
      <c r="A1232"/>
      <c r="B1232"/>
      <c r="C1232"/>
      <c r="D1232"/>
      <c r="E1232"/>
      <c r="F1232"/>
      <c r="G1232"/>
      <c r="H1232"/>
    </row>
    <row r="1233" spans="1:8" ht="15" customHeight="1">
      <c r="A1233"/>
      <c r="B1233"/>
      <c r="C1233"/>
      <c r="D1233"/>
      <c r="E1233"/>
      <c r="F1233"/>
      <c r="G1233"/>
      <c r="H1233"/>
    </row>
    <row r="1234" spans="1:8" ht="15" customHeight="1">
      <c r="A1234"/>
      <c r="B1234"/>
      <c r="C1234"/>
      <c r="D1234"/>
      <c r="E1234"/>
      <c r="F1234"/>
      <c r="G1234"/>
      <c r="H1234"/>
    </row>
    <row r="1235" spans="1:8" ht="15" customHeight="1">
      <c r="A1235"/>
      <c r="B1235"/>
      <c r="C1235"/>
      <c r="D1235"/>
      <c r="E1235"/>
      <c r="F1235"/>
      <c r="G1235"/>
      <c r="H1235"/>
    </row>
    <row r="1236" spans="1:8" ht="15" customHeight="1">
      <c r="A1236"/>
      <c r="B1236"/>
      <c r="C1236"/>
      <c r="D1236"/>
      <c r="E1236"/>
      <c r="F1236"/>
      <c r="G1236"/>
      <c r="H1236"/>
    </row>
    <row r="1237" spans="1:8" ht="15" customHeight="1">
      <c r="A1237"/>
      <c r="B1237"/>
      <c r="C1237"/>
      <c r="D1237"/>
      <c r="E1237"/>
      <c r="F1237"/>
      <c r="G1237"/>
      <c r="H1237"/>
    </row>
    <row r="1238" spans="1:8" ht="15" customHeight="1">
      <c r="A1238"/>
      <c r="B1238"/>
      <c r="C1238"/>
      <c r="D1238"/>
      <c r="E1238"/>
      <c r="F1238"/>
      <c r="G1238"/>
      <c r="H1238"/>
    </row>
    <row r="1239" spans="1:8" ht="15" customHeight="1">
      <c r="A1239"/>
      <c r="B1239"/>
      <c r="C1239"/>
      <c r="D1239"/>
      <c r="E1239"/>
      <c r="F1239"/>
      <c r="G1239"/>
      <c r="H1239"/>
    </row>
    <row r="1240" spans="1:8" ht="15" customHeight="1">
      <c r="A1240"/>
      <c r="B1240"/>
      <c r="C1240"/>
      <c r="D1240"/>
      <c r="E1240"/>
      <c r="F1240"/>
      <c r="G1240"/>
      <c r="H1240"/>
    </row>
    <row r="1241" spans="1:8" ht="15" customHeight="1">
      <c r="A1241"/>
      <c r="B1241"/>
      <c r="C1241"/>
      <c r="D1241"/>
      <c r="E1241"/>
      <c r="F1241"/>
      <c r="G1241"/>
      <c r="H1241"/>
    </row>
    <row r="1242" spans="1:8" ht="15" customHeight="1">
      <c r="A1242"/>
      <c r="B1242"/>
      <c r="C1242"/>
      <c r="D1242"/>
      <c r="E1242"/>
      <c r="F1242"/>
      <c r="G1242"/>
      <c r="H1242"/>
    </row>
    <row r="1243" spans="1:8" ht="15" customHeight="1">
      <c r="A1243"/>
      <c r="B1243"/>
      <c r="C1243"/>
      <c r="D1243"/>
      <c r="E1243"/>
      <c r="F1243"/>
      <c r="G1243"/>
      <c r="H1243"/>
    </row>
    <row r="1244" spans="1:8" ht="15" customHeight="1">
      <c r="A1244"/>
      <c r="B1244"/>
      <c r="C1244"/>
      <c r="D1244"/>
      <c r="E1244"/>
      <c r="F1244"/>
      <c r="G1244"/>
      <c r="H1244"/>
    </row>
    <row r="1245" spans="1:8" ht="15" customHeight="1">
      <c r="A1245"/>
      <c r="B1245"/>
      <c r="C1245"/>
      <c r="D1245"/>
      <c r="E1245"/>
      <c r="F1245"/>
      <c r="G1245"/>
      <c r="H1245"/>
    </row>
    <row r="1246" spans="1:8" ht="15" customHeight="1">
      <c r="A1246"/>
      <c r="B1246"/>
      <c r="C1246"/>
      <c r="D1246"/>
      <c r="E1246"/>
      <c r="F1246"/>
      <c r="G1246"/>
      <c r="H1246"/>
    </row>
    <row r="1247" spans="1:8" ht="15" customHeight="1">
      <c r="A1247"/>
      <c r="B1247"/>
      <c r="C1247"/>
      <c r="D1247"/>
      <c r="E1247"/>
      <c r="F1247"/>
      <c r="G1247"/>
      <c r="H1247"/>
    </row>
    <row r="1248" spans="1:8" ht="15" customHeight="1">
      <c r="A1248"/>
      <c r="B1248"/>
      <c r="C1248"/>
      <c r="D1248"/>
      <c r="E1248"/>
      <c r="F1248"/>
      <c r="G1248"/>
      <c r="H1248"/>
    </row>
    <row r="1249" spans="1:8" ht="15" customHeight="1">
      <c r="A1249"/>
      <c r="B1249"/>
      <c r="C1249"/>
      <c r="D1249"/>
      <c r="E1249"/>
      <c r="F1249"/>
      <c r="G1249"/>
      <c r="H1249"/>
    </row>
    <row r="1250" spans="1:8" ht="15" customHeight="1">
      <c r="A1250"/>
      <c r="B1250"/>
      <c r="C1250"/>
      <c r="D1250"/>
      <c r="E1250"/>
      <c r="F1250"/>
      <c r="G1250"/>
      <c r="H1250"/>
    </row>
    <row r="1251" spans="1:8" ht="15" customHeight="1">
      <c r="A1251"/>
      <c r="B1251"/>
      <c r="C1251"/>
      <c r="D1251"/>
      <c r="E1251"/>
      <c r="F1251"/>
      <c r="G1251"/>
      <c r="H1251"/>
    </row>
    <row r="1252" spans="1:8" ht="15" customHeight="1">
      <c r="A1252"/>
      <c r="B1252"/>
      <c r="C1252"/>
      <c r="D1252"/>
      <c r="E1252"/>
      <c r="F1252"/>
      <c r="G1252"/>
      <c r="H1252"/>
    </row>
    <row r="1253" spans="1:8" ht="15" customHeight="1">
      <c r="A1253"/>
      <c r="B1253"/>
      <c r="C1253"/>
      <c r="D1253"/>
      <c r="E1253"/>
      <c r="F1253"/>
      <c r="G1253"/>
      <c r="H1253"/>
    </row>
    <row r="1254" spans="1:8" ht="15" customHeight="1">
      <c r="A1254"/>
      <c r="B1254"/>
      <c r="C1254"/>
      <c r="D1254"/>
      <c r="E1254"/>
      <c r="F1254"/>
      <c r="G1254"/>
      <c r="H1254"/>
    </row>
    <row r="1255" spans="1:8" ht="15" customHeight="1">
      <c r="A1255"/>
      <c r="B1255"/>
      <c r="C1255"/>
      <c r="D1255"/>
      <c r="E1255"/>
      <c r="F1255"/>
      <c r="G1255"/>
      <c r="H1255"/>
    </row>
    <row r="1256" spans="1:8" ht="15" customHeight="1">
      <c r="A1256"/>
      <c r="B1256"/>
      <c r="C1256"/>
      <c r="D1256"/>
      <c r="E1256"/>
      <c r="F1256"/>
      <c r="G1256"/>
      <c r="H1256"/>
    </row>
    <row r="1257" spans="1:8" ht="15" customHeight="1">
      <c r="A1257"/>
      <c r="B1257"/>
      <c r="C1257"/>
      <c r="D1257"/>
      <c r="E1257"/>
      <c r="F1257"/>
      <c r="G1257"/>
      <c r="H1257"/>
    </row>
    <row r="1258" spans="1:8" ht="15" customHeight="1">
      <c r="A1258"/>
      <c r="B1258"/>
      <c r="C1258"/>
      <c r="D1258"/>
      <c r="E1258"/>
      <c r="F1258"/>
      <c r="G1258"/>
      <c r="H1258"/>
    </row>
    <row r="1259" spans="1:8" ht="15" customHeight="1">
      <c r="A1259"/>
      <c r="B1259"/>
      <c r="C1259"/>
      <c r="D1259"/>
      <c r="E1259"/>
      <c r="F1259"/>
      <c r="G1259"/>
      <c r="H1259"/>
    </row>
    <row r="1260" spans="1:8" ht="15" customHeight="1">
      <c r="A1260"/>
      <c r="B1260"/>
      <c r="C1260"/>
      <c r="D1260"/>
      <c r="E1260"/>
      <c r="F1260"/>
      <c r="G1260"/>
      <c r="H1260"/>
    </row>
    <row r="1261" spans="1:8" ht="15" customHeight="1">
      <c r="A1261"/>
      <c r="B1261"/>
      <c r="C1261"/>
      <c r="D1261"/>
      <c r="E1261"/>
      <c r="F1261"/>
      <c r="G1261"/>
      <c r="H1261"/>
    </row>
    <row r="1262" spans="1:8" ht="15" customHeight="1">
      <c r="A1262"/>
      <c r="B1262"/>
      <c r="C1262"/>
      <c r="D1262"/>
      <c r="E1262"/>
      <c r="F1262"/>
      <c r="G1262"/>
      <c r="H1262"/>
    </row>
    <row r="1263" spans="1:8" ht="15" customHeight="1">
      <c r="A1263"/>
      <c r="B1263"/>
      <c r="C1263"/>
      <c r="D1263"/>
      <c r="E1263"/>
      <c r="F1263"/>
      <c r="G1263"/>
      <c r="H1263"/>
    </row>
    <row r="1264" spans="1:8" ht="15" customHeight="1">
      <c r="A1264"/>
      <c r="B1264"/>
      <c r="C1264"/>
      <c r="D1264"/>
      <c r="E1264"/>
      <c r="F1264"/>
      <c r="G1264"/>
      <c r="H1264"/>
    </row>
    <row r="1265" spans="1:8" ht="15" customHeight="1">
      <c r="A1265"/>
      <c r="B1265"/>
      <c r="C1265"/>
      <c r="D1265"/>
      <c r="E1265"/>
      <c r="F1265"/>
      <c r="G1265"/>
      <c r="H1265"/>
    </row>
    <row r="1266" spans="1:8" ht="15" customHeight="1">
      <c r="A1266"/>
      <c r="B1266"/>
      <c r="C1266"/>
      <c r="D1266"/>
      <c r="E1266"/>
      <c r="F1266"/>
      <c r="G1266"/>
      <c r="H1266"/>
    </row>
    <row r="1267" spans="1:8" ht="15" customHeight="1">
      <c r="A1267"/>
      <c r="B1267"/>
      <c r="C1267"/>
      <c r="D1267"/>
      <c r="E1267"/>
      <c r="F1267"/>
      <c r="G1267"/>
      <c r="H1267"/>
    </row>
    <row r="1268" spans="1:8" ht="15" customHeight="1">
      <c r="A1268"/>
      <c r="B1268"/>
      <c r="C1268"/>
      <c r="D1268"/>
      <c r="E1268"/>
      <c r="F1268"/>
      <c r="G1268"/>
      <c r="H1268"/>
    </row>
    <row r="1269" spans="1:8" ht="15" customHeight="1">
      <c r="A1269"/>
      <c r="B1269"/>
      <c r="C1269"/>
      <c r="D1269"/>
      <c r="E1269"/>
      <c r="F1269"/>
      <c r="G1269"/>
      <c r="H1269"/>
    </row>
    <row r="1270" spans="1:8" ht="15" customHeight="1">
      <c r="A1270"/>
      <c r="B1270"/>
      <c r="C1270"/>
      <c r="D1270"/>
      <c r="E1270"/>
      <c r="F1270"/>
      <c r="G1270"/>
      <c r="H1270"/>
    </row>
    <row r="1271" spans="1:8" ht="15" customHeight="1">
      <c r="A1271"/>
      <c r="B1271"/>
      <c r="C1271"/>
      <c r="D1271"/>
      <c r="E1271"/>
      <c r="F1271"/>
      <c r="G1271"/>
      <c r="H1271"/>
    </row>
    <row r="1272" spans="1:8" ht="15" customHeight="1">
      <c r="A1272"/>
      <c r="B1272"/>
      <c r="C1272"/>
      <c r="D1272"/>
      <c r="E1272"/>
      <c r="F1272"/>
      <c r="G1272"/>
      <c r="H1272"/>
    </row>
    <row r="1273" spans="1:8" ht="15" customHeight="1">
      <c r="A1273"/>
      <c r="B1273"/>
      <c r="C1273"/>
      <c r="D1273"/>
      <c r="E1273"/>
      <c r="F1273"/>
      <c r="G1273"/>
      <c r="H1273"/>
    </row>
    <row r="1274" spans="1:8" ht="15" customHeight="1">
      <c r="A1274"/>
      <c r="B1274"/>
      <c r="C1274"/>
      <c r="D1274"/>
      <c r="E1274"/>
      <c r="F1274"/>
      <c r="G1274"/>
      <c r="H1274"/>
    </row>
    <row r="1275" spans="1:8" ht="15" customHeight="1">
      <c r="A1275"/>
      <c r="B1275"/>
      <c r="C1275"/>
      <c r="D1275"/>
      <c r="E1275"/>
      <c r="F1275"/>
      <c r="G1275"/>
      <c r="H1275"/>
    </row>
    <row r="1276" spans="1:8" ht="15" customHeight="1">
      <c r="A1276"/>
      <c r="B1276"/>
      <c r="C1276"/>
      <c r="D1276"/>
      <c r="E1276"/>
      <c r="F1276"/>
      <c r="G1276"/>
      <c r="H1276"/>
    </row>
    <row r="1277" spans="1:8" ht="15" customHeight="1">
      <c r="A1277"/>
      <c r="B1277"/>
      <c r="C1277"/>
      <c r="D1277"/>
      <c r="E1277"/>
      <c r="F1277"/>
      <c r="G1277"/>
      <c r="H1277"/>
    </row>
    <row r="1278" spans="1:8" ht="15" customHeight="1">
      <c r="A1278"/>
      <c r="B1278"/>
      <c r="C1278"/>
      <c r="D1278"/>
      <c r="E1278"/>
      <c r="F1278"/>
      <c r="G1278"/>
      <c r="H1278"/>
    </row>
    <row r="1279" spans="1:8" ht="15" customHeight="1">
      <c r="A1279"/>
      <c r="B1279"/>
      <c r="C1279"/>
      <c r="D1279"/>
      <c r="E1279"/>
      <c r="F1279"/>
      <c r="G1279"/>
      <c r="H1279"/>
    </row>
    <row r="1280" spans="1:8" ht="15" customHeight="1">
      <c r="A1280"/>
      <c r="B1280"/>
      <c r="C1280"/>
      <c r="D1280"/>
      <c r="E1280"/>
      <c r="F1280"/>
      <c r="G1280"/>
      <c r="H1280"/>
    </row>
    <row r="1281" spans="1:8" ht="15" customHeight="1">
      <c r="A1281"/>
      <c r="B1281"/>
      <c r="C1281"/>
      <c r="D1281"/>
      <c r="E1281"/>
      <c r="F1281"/>
      <c r="G1281"/>
      <c r="H1281"/>
    </row>
    <row r="1282" spans="1:8" ht="15" customHeight="1">
      <c r="A1282"/>
      <c r="B1282"/>
      <c r="C1282"/>
      <c r="D1282"/>
      <c r="E1282"/>
      <c r="F1282"/>
      <c r="G1282"/>
      <c r="H1282"/>
    </row>
    <row r="1283" spans="1:8" ht="15" customHeight="1">
      <c r="A1283"/>
      <c r="B1283"/>
      <c r="C1283"/>
      <c r="D1283"/>
      <c r="E1283"/>
      <c r="F1283"/>
      <c r="G1283"/>
      <c r="H1283"/>
    </row>
    <row r="1284" spans="1:8" ht="15" customHeight="1">
      <c r="A1284"/>
      <c r="B1284"/>
      <c r="C1284"/>
      <c r="D1284"/>
      <c r="E1284"/>
      <c r="F1284"/>
      <c r="G1284"/>
      <c r="H1284"/>
    </row>
    <row r="1285" spans="1:8" ht="15" customHeight="1">
      <c r="A1285"/>
      <c r="B1285"/>
      <c r="C1285"/>
      <c r="D1285"/>
      <c r="E1285"/>
      <c r="F1285"/>
      <c r="G1285"/>
      <c r="H1285"/>
    </row>
    <row r="1286" spans="1:8" ht="15" customHeight="1">
      <c r="A1286"/>
      <c r="B1286"/>
      <c r="C1286"/>
      <c r="D1286"/>
      <c r="E1286"/>
      <c r="F1286"/>
      <c r="G1286"/>
      <c r="H1286"/>
    </row>
    <row r="1287" spans="1:8" ht="15" customHeight="1">
      <c r="A1287"/>
      <c r="B1287"/>
      <c r="C1287"/>
      <c r="D1287"/>
      <c r="E1287"/>
      <c r="F1287"/>
      <c r="G1287"/>
      <c r="H1287"/>
    </row>
    <row r="1288" spans="1:8" ht="15" customHeight="1">
      <c r="A1288"/>
      <c r="B1288"/>
      <c r="C1288"/>
      <c r="D1288"/>
      <c r="E1288"/>
      <c r="F1288"/>
      <c r="G1288"/>
      <c r="H1288"/>
    </row>
    <row r="1289" spans="1:8" ht="15" customHeight="1">
      <c r="A1289"/>
      <c r="B1289"/>
      <c r="C1289"/>
      <c r="D1289"/>
      <c r="E1289"/>
      <c r="F1289"/>
      <c r="G1289"/>
      <c r="H1289"/>
    </row>
    <row r="1290" spans="1:8" ht="15" customHeight="1">
      <c r="A1290"/>
      <c r="B1290"/>
      <c r="C1290"/>
      <c r="D1290"/>
      <c r="E1290"/>
      <c r="F1290"/>
      <c r="G1290"/>
      <c r="H1290"/>
    </row>
    <row r="1291" spans="1:8" ht="15" customHeight="1">
      <c r="A1291"/>
      <c r="B1291"/>
      <c r="C1291"/>
      <c r="D1291"/>
      <c r="E1291"/>
      <c r="F1291"/>
      <c r="G1291"/>
      <c r="H1291"/>
    </row>
    <row r="1292" spans="1:8" ht="15" customHeight="1">
      <c r="A1292"/>
      <c r="B1292"/>
      <c r="C1292"/>
      <c r="D1292"/>
      <c r="E1292"/>
      <c r="F1292"/>
      <c r="G1292"/>
      <c r="H1292"/>
    </row>
    <row r="1293" spans="1:8" ht="15" customHeight="1">
      <c r="A1293"/>
      <c r="B1293"/>
      <c r="C1293"/>
      <c r="D1293"/>
      <c r="E1293"/>
      <c r="F1293"/>
      <c r="G1293"/>
      <c r="H1293"/>
    </row>
    <row r="1294" spans="1:8" ht="15" customHeight="1">
      <c r="A1294"/>
      <c r="B1294"/>
      <c r="C1294"/>
      <c r="D1294"/>
      <c r="E1294"/>
      <c r="F1294"/>
      <c r="G1294"/>
      <c r="H1294"/>
    </row>
    <row r="1295" spans="1:8" ht="15" customHeight="1">
      <c r="A1295"/>
      <c r="B1295"/>
      <c r="C1295"/>
      <c r="D1295"/>
      <c r="E1295"/>
      <c r="F1295"/>
      <c r="G1295"/>
      <c r="H1295"/>
    </row>
    <row r="1296" spans="1:8" ht="15" customHeight="1">
      <c r="A1296"/>
      <c r="B1296"/>
      <c r="C1296"/>
      <c r="D1296"/>
      <c r="E1296"/>
      <c r="F1296"/>
      <c r="G1296"/>
      <c r="H1296"/>
    </row>
    <row r="1297" spans="1:8" ht="15" customHeight="1">
      <c r="A1297"/>
      <c r="B1297"/>
      <c r="C1297"/>
      <c r="D1297"/>
      <c r="E1297"/>
      <c r="F1297"/>
      <c r="G1297"/>
      <c r="H1297"/>
    </row>
    <row r="1298" spans="1:8" ht="15" customHeight="1">
      <c r="A1298"/>
      <c r="B1298"/>
      <c r="C1298"/>
      <c r="D1298"/>
      <c r="E1298"/>
      <c r="F1298"/>
      <c r="G1298"/>
      <c r="H1298"/>
    </row>
    <row r="1299" spans="1:8" ht="15" customHeight="1">
      <c r="A1299"/>
      <c r="B1299"/>
      <c r="C1299"/>
      <c r="D1299"/>
      <c r="E1299"/>
      <c r="F1299"/>
      <c r="G1299"/>
      <c r="H1299"/>
    </row>
    <row r="1300" spans="1:8" ht="15" customHeight="1">
      <c r="A1300"/>
      <c r="B1300"/>
      <c r="C1300"/>
      <c r="D1300"/>
      <c r="E1300"/>
      <c r="F1300"/>
      <c r="G1300"/>
      <c r="H1300"/>
    </row>
    <row r="1301" spans="1:8" ht="15" customHeight="1">
      <c r="A1301"/>
      <c r="B1301"/>
      <c r="C1301"/>
      <c r="D1301"/>
      <c r="E1301"/>
      <c r="F1301"/>
      <c r="G1301"/>
      <c r="H1301"/>
    </row>
    <row r="1302" spans="1:8" ht="15" customHeight="1">
      <c r="A1302"/>
      <c r="B1302"/>
      <c r="C1302"/>
      <c r="D1302"/>
      <c r="E1302"/>
      <c r="F1302"/>
      <c r="G1302"/>
      <c r="H1302"/>
    </row>
    <row r="1303" spans="1:8" ht="15" customHeight="1">
      <c r="A1303"/>
      <c r="B1303"/>
      <c r="C1303"/>
      <c r="D1303"/>
      <c r="E1303"/>
      <c r="F1303"/>
      <c r="G1303"/>
      <c r="H1303"/>
    </row>
    <row r="1304" spans="1:8" ht="15" customHeight="1">
      <c r="A1304"/>
      <c r="B1304"/>
      <c r="C1304"/>
      <c r="D1304"/>
      <c r="E1304"/>
      <c r="F1304"/>
      <c r="G1304"/>
      <c r="H1304"/>
    </row>
    <row r="1305" spans="1:8" ht="15" customHeight="1">
      <c r="A1305"/>
      <c r="B1305"/>
      <c r="C1305"/>
      <c r="D1305"/>
      <c r="E1305"/>
      <c r="F1305"/>
      <c r="G1305"/>
      <c r="H1305"/>
    </row>
    <row r="1306" spans="1:8" ht="15" customHeight="1">
      <c r="A1306"/>
      <c r="B1306"/>
      <c r="C1306"/>
      <c r="D1306"/>
      <c r="E1306"/>
      <c r="F1306"/>
      <c r="G1306"/>
      <c r="H1306"/>
    </row>
    <row r="1307" spans="1:8" ht="15" customHeight="1">
      <c r="A1307"/>
      <c r="B1307"/>
      <c r="C1307"/>
      <c r="D1307"/>
      <c r="E1307"/>
      <c r="F1307"/>
      <c r="G1307"/>
      <c r="H1307"/>
    </row>
    <row r="1308" spans="1:8" ht="15" customHeight="1">
      <c r="A1308"/>
      <c r="B1308"/>
      <c r="C1308"/>
      <c r="D1308"/>
      <c r="E1308"/>
      <c r="F1308"/>
      <c r="G1308"/>
      <c r="H1308"/>
    </row>
    <row r="1309" spans="1:8" ht="15" customHeight="1">
      <c r="A1309"/>
      <c r="B1309"/>
      <c r="C1309"/>
      <c r="D1309"/>
      <c r="E1309"/>
      <c r="F1309"/>
      <c r="G1309"/>
      <c r="H1309"/>
    </row>
    <row r="1310" spans="1:8" ht="15" customHeight="1">
      <c r="A1310"/>
      <c r="B1310"/>
      <c r="C1310"/>
      <c r="D1310"/>
      <c r="E1310"/>
      <c r="F1310"/>
      <c r="G1310"/>
      <c r="H1310"/>
    </row>
    <row r="1311" spans="1:8" ht="15" customHeight="1">
      <c r="A1311"/>
      <c r="B1311"/>
      <c r="C1311"/>
      <c r="D1311"/>
      <c r="E1311"/>
      <c r="F1311"/>
      <c r="G1311"/>
      <c r="H1311"/>
    </row>
    <row r="1312" spans="1:8" ht="15" customHeight="1">
      <c r="A1312"/>
      <c r="B1312"/>
      <c r="C1312"/>
      <c r="D1312"/>
      <c r="E1312"/>
      <c r="F1312"/>
      <c r="G1312"/>
      <c r="H1312"/>
    </row>
    <row r="1313" spans="1:8" ht="15" customHeight="1">
      <c r="A1313"/>
      <c r="B1313"/>
      <c r="C1313"/>
      <c r="D1313"/>
      <c r="E1313"/>
      <c r="F1313"/>
      <c r="G1313"/>
      <c r="H1313"/>
    </row>
    <row r="1314" spans="1:8" ht="15" customHeight="1">
      <c r="A1314"/>
      <c r="B1314"/>
      <c r="C1314"/>
      <c r="D1314"/>
      <c r="E1314"/>
      <c r="F1314"/>
      <c r="G1314"/>
      <c r="H1314"/>
    </row>
    <row r="1315" spans="1:8" ht="15" customHeight="1">
      <c r="A1315"/>
      <c r="B1315"/>
      <c r="C1315"/>
      <c r="D1315"/>
      <c r="E1315"/>
      <c r="F1315"/>
      <c r="G1315"/>
      <c r="H1315"/>
    </row>
    <row r="1316" spans="1:8" ht="15" customHeight="1">
      <c r="A1316"/>
      <c r="B1316"/>
      <c r="C1316"/>
      <c r="D1316"/>
      <c r="E1316"/>
      <c r="F1316"/>
      <c r="G1316"/>
      <c r="H1316"/>
    </row>
    <row r="1317" spans="1:8" ht="15" customHeight="1">
      <c r="A1317"/>
      <c r="B1317"/>
      <c r="C1317"/>
      <c r="D1317"/>
      <c r="E1317"/>
      <c r="F1317"/>
      <c r="G1317"/>
      <c r="H1317"/>
    </row>
    <row r="1318" spans="1:8" ht="15" customHeight="1">
      <c r="A1318"/>
      <c r="B1318"/>
      <c r="C1318"/>
      <c r="D1318"/>
      <c r="E1318"/>
      <c r="F1318"/>
      <c r="G1318"/>
      <c r="H1318"/>
    </row>
    <row r="1319" spans="1:8" ht="15" customHeight="1">
      <c r="A1319"/>
      <c r="B1319"/>
      <c r="C1319"/>
      <c r="D1319"/>
      <c r="E1319"/>
      <c r="F1319"/>
      <c r="G1319"/>
      <c r="H1319"/>
    </row>
    <row r="1320" spans="1:8" ht="15" customHeight="1">
      <c r="A1320"/>
      <c r="B1320"/>
      <c r="C1320"/>
      <c r="D1320"/>
      <c r="E1320"/>
      <c r="F1320"/>
      <c r="G1320"/>
      <c r="H1320"/>
    </row>
    <row r="1321" spans="1:8" ht="15" customHeight="1">
      <c r="A1321"/>
      <c r="B1321"/>
      <c r="C1321"/>
      <c r="D1321"/>
      <c r="E1321"/>
      <c r="F1321"/>
      <c r="G1321"/>
      <c r="H1321"/>
    </row>
    <row r="1322" spans="1:8" ht="15" customHeight="1">
      <c r="A1322"/>
      <c r="B1322"/>
      <c r="C1322"/>
      <c r="D1322"/>
      <c r="E1322"/>
      <c r="F1322"/>
      <c r="G1322"/>
      <c r="H1322"/>
    </row>
    <row r="1323" spans="1:8" ht="15" customHeight="1">
      <c r="A1323"/>
      <c r="B1323"/>
      <c r="C1323"/>
      <c r="D1323"/>
      <c r="E1323"/>
      <c r="F1323"/>
      <c r="G1323"/>
      <c r="H1323"/>
    </row>
    <row r="1324" spans="1:8" ht="15" customHeight="1">
      <c r="A1324"/>
      <c r="B1324"/>
      <c r="C1324"/>
      <c r="D1324"/>
      <c r="E1324"/>
      <c r="F1324"/>
      <c r="G1324"/>
      <c r="H1324"/>
    </row>
    <row r="1325" spans="1:8" ht="15" customHeight="1">
      <c r="A1325"/>
      <c r="B1325"/>
      <c r="C1325"/>
      <c r="D1325"/>
      <c r="E1325"/>
      <c r="F1325"/>
      <c r="G1325"/>
      <c r="H1325"/>
    </row>
    <row r="1326" spans="1:8" ht="15" customHeight="1">
      <c r="A1326"/>
      <c r="B1326"/>
      <c r="C1326"/>
      <c r="D1326"/>
      <c r="E1326"/>
      <c r="F1326"/>
      <c r="G1326"/>
      <c r="H1326"/>
    </row>
    <row r="1327" spans="1:8" ht="15" customHeight="1">
      <c r="A1327"/>
      <c r="B1327"/>
      <c r="C1327"/>
      <c r="D1327"/>
      <c r="E1327"/>
      <c r="F1327"/>
      <c r="G1327"/>
      <c r="H1327"/>
    </row>
    <row r="1328" spans="1:8" ht="15" customHeight="1">
      <c r="A1328"/>
      <c r="B1328"/>
      <c r="C1328"/>
      <c r="D1328"/>
      <c r="E1328"/>
      <c r="F1328"/>
      <c r="G1328"/>
      <c r="H1328"/>
    </row>
    <row r="1329" spans="1:8" ht="15" customHeight="1">
      <c r="A1329"/>
      <c r="B1329"/>
      <c r="C1329"/>
      <c r="D1329"/>
      <c r="E1329"/>
      <c r="F1329"/>
      <c r="G1329"/>
      <c r="H1329"/>
    </row>
    <row r="1330" spans="1:8" ht="15" customHeight="1">
      <c r="A1330"/>
      <c r="B1330"/>
      <c r="C1330"/>
      <c r="D1330"/>
      <c r="E1330"/>
      <c r="F1330"/>
      <c r="G1330"/>
      <c r="H1330"/>
    </row>
    <row r="1331" spans="1:8" ht="15" customHeight="1">
      <c r="A1331"/>
      <c r="B1331"/>
      <c r="C1331"/>
      <c r="D1331"/>
      <c r="E1331"/>
      <c r="F1331"/>
      <c r="G1331"/>
      <c r="H1331"/>
    </row>
    <row r="1332" spans="1:8" ht="15" customHeight="1">
      <c r="A1332"/>
      <c r="B1332"/>
      <c r="C1332"/>
      <c r="D1332"/>
      <c r="E1332"/>
      <c r="F1332"/>
      <c r="G1332"/>
      <c r="H1332"/>
    </row>
    <row r="1333" spans="1:8" ht="15" customHeight="1">
      <c r="A1333"/>
      <c r="B1333"/>
      <c r="C1333"/>
      <c r="D1333"/>
      <c r="E1333"/>
      <c r="F1333"/>
      <c r="G1333"/>
      <c r="H1333"/>
    </row>
    <row r="1334" spans="1:8" ht="15" customHeight="1">
      <c r="A1334"/>
      <c r="B1334"/>
      <c r="C1334"/>
      <c r="D1334"/>
      <c r="E1334"/>
      <c r="F1334"/>
      <c r="G1334"/>
      <c r="H1334"/>
    </row>
    <row r="1335" spans="1:8" ht="15" customHeight="1">
      <c r="A1335"/>
      <c r="B1335"/>
      <c r="C1335"/>
      <c r="D1335"/>
      <c r="E1335"/>
      <c r="F1335"/>
      <c r="G1335"/>
      <c r="H1335"/>
    </row>
    <row r="1336" spans="1:8" ht="15" customHeight="1">
      <c r="A1336"/>
      <c r="B1336"/>
      <c r="C1336"/>
      <c r="D1336"/>
      <c r="E1336"/>
      <c r="F1336"/>
      <c r="G1336"/>
      <c r="H1336"/>
    </row>
    <row r="1337" spans="1:8" ht="15" customHeight="1">
      <c r="A1337"/>
      <c r="B1337"/>
      <c r="C1337"/>
      <c r="D1337"/>
      <c r="E1337"/>
      <c r="F1337"/>
      <c r="G1337"/>
      <c r="H1337"/>
    </row>
    <row r="1338" spans="1:8" ht="15" customHeight="1">
      <c r="A1338"/>
      <c r="B1338"/>
      <c r="C1338"/>
      <c r="D1338"/>
      <c r="E1338"/>
      <c r="F1338"/>
      <c r="G1338"/>
      <c r="H1338"/>
    </row>
    <row r="1339" spans="1:8" ht="15" customHeight="1">
      <c r="A1339"/>
      <c r="B1339"/>
      <c r="C1339"/>
      <c r="D1339"/>
      <c r="E1339"/>
      <c r="F1339"/>
      <c r="G1339"/>
      <c r="H1339"/>
    </row>
    <row r="1340" spans="1:8" ht="15" customHeight="1">
      <c r="A1340"/>
      <c r="B1340"/>
      <c r="C1340"/>
      <c r="D1340"/>
      <c r="E1340"/>
      <c r="F1340"/>
      <c r="G1340"/>
      <c r="H1340"/>
    </row>
    <row r="1341" spans="1:8" ht="15" customHeight="1">
      <c r="A1341"/>
      <c r="B1341"/>
      <c r="C1341"/>
      <c r="D1341"/>
      <c r="E1341"/>
      <c r="F1341"/>
      <c r="G1341"/>
      <c r="H1341"/>
    </row>
    <row r="1342" spans="1:8" ht="15" customHeight="1">
      <c r="A1342"/>
      <c r="B1342"/>
      <c r="C1342"/>
      <c r="D1342"/>
      <c r="E1342"/>
      <c r="F1342"/>
      <c r="G1342"/>
      <c r="H1342"/>
    </row>
    <row r="1343" spans="1:8" ht="15" customHeight="1">
      <c r="A1343"/>
      <c r="B1343"/>
      <c r="C1343"/>
      <c r="D1343"/>
      <c r="E1343"/>
      <c r="F1343"/>
      <c r="G1343"/>
      <c r="H1343"/>
    </row>
    <row r="1344" spans="1:8" ht="15" customHeight="1">
      <c r="A1344"/>
      <c r="B1344"/>
      <c r="C1344"/>
      <c r="D1344"/>
      <c r="E1344"/>
      <c r="F1344"/>
      <c r="G1344"/>
      <c r="H1344"/>
    </row>
    <row r="1345" spans="1:8" ht="15" customHeight="1">
      <c r="A1345"/>
      <c r="B1345"/>
      <c r="C1345"/>
      <c r="D1345"/>
      <c r="E1345"/>
      <c r="F1345"/>
      <c r="G1345"/>
      <c r="H1345"/>
    </row>
    <row r="1346" spans="1:8" ht="15" customHeight="1">
      <c r="A1346"/>
      <c r="B1346"/>
      <c r="C1346"/>
      <c r="D1346"/>
      <c r="E1346"/>
      <c r="F1346"/>
      <c r="G1346"/>
      <c r="H1346"/>
    </row>
    <row r="1347" spans="1:8" ht="15" customHeight="1">
      <c r="A1347"/>
      <c r="B1347"/>
      <c r="C1347"/>
      <c r="D1347"/>
      <c r="E1347"/>
      <c r="F1347"/>
      <c r="G1347"/>
      <c r="H1347"/>
    </row>
    <row r="1348" spans="1:8" ht="15" customHeight="1">
      <c r="A1348"/>
      <c r="B1348"/>
      <c r="C1348"/>
      <c r="D1348"/>
      <c r="E1348"/>
      <c r="F1348"/>
      <c r="G1348"/>
      <c r="H1348"/>
    </row>
    <row r="1349" spans="1:8" ht="15" customHeight="1">
      <c r="A1349"/>
      <c r="B1349"/>
      <c r="C1349"/>
      <c r="D1349"/>
      <c r="E1349"/>
      <c r="F1349"/>
      <c r="G1349"/>
      <c r="H1349"/>
    </row>
    <row r="1350" spans="1:8" ht="15" customHeight="1">
      <c r="A1350"/>
      <c r="B1350"/>
      <c r="C1350"/>
      <c r="D1350"/>
      <c r="E1350"/>
      <c r="F1350"/>
      <c r="G1350"/>
      <c r="H1350"/>
    </row>
    <row r="1351" spans="1:8" ht="15" customHeight="1">
      <c r="A1351"/>
      <c r="B1351"/>
      <c r="C1351"/>
      <c r="D1351"/>
      <c r="E1351"/>
      <c r="F1351"/>
      <c r="G1351"/>
      <c r="H1351"/>
    </row>
    <row r="1352" spans="1:8" ht="15" customHeight="1">
      <c r="A1352"/>
      <c r="B1352"/>
      <c r="C1352"/>
      <c r="D1352"/>
      <c r="E1352"/>
      <c r="F1352"/>
      <c r="G1352"/>
      <c r="H1352"/>
    </row>
    <row r="1353" spans="1:8" ht="15" customHeight="1">
      <c r="A1353"/>
      <c r="B1353"/>
      <c r="C1353"/>
      <c r="D1353"/>
      <c r="E1353"/>
      <c r="F1353"/>
      <c r="G1353"/>
      <c r="H1353"/>
    </row>
    <row r="1354" spans="1:8" ht="15" customHeight="1">
      <c r="A1354"/>
      <c r="B1354"/>
      <c r="C1354"/>
      <c r="D1354"/>
      <c r="E1354"/>
      <c r="F1354"/>
      <c r="G1354"/>
      <c r="H1354"/>
    </row>
    <row r="1355" spans="1:8" ht="15" customHeight="1">
      <c r="A1355"/>
      <c r="B1355"/>
      <c r="C1355"/>
      <c r="D1355"/>
      <c r="E1355"/>
      <c r="F1355"/>
      <c r="G1355"/>
      <c r="H1355"/>
    </row>
    <row r="1356" spans="1:8" ht="15" customHeight="1">
      <c r="A1356"/>
      <c r="B1356"/>
      <c r="C1356"/>
      <c r="D1356"/>
      <c r="E1356"/>
      <c r="F1356"/>
      <c r="G1356"/>
      <c r="H1356"/>
    </row>
    <row r="1357" spans="1:8" ht="15" customHeight="1">
      <c r="A1357"/>
      <c r="B1357"/>
      <c r="C1357"/>
      <c r="D1357"/>
      <c r="E1357"/>
      <c r="F1357"/>
      <c r="G1357"/>
      <c r="H1357"/>
    </row>
    <row r="1358" spans="1:8" ht="15" customHeight="1">
      <c r="A1358"/>
      <c r="B1358"/>
      <c r="C1358"/>
      <c r="D1358"/>
      <c r="E1358"/>
      <c r="F1358"/>
      <c r="G1358"/>
      <c r="H1358"/>
    </row>
    <row r="1359" spans="1:8" ht="15" customHeight="1">
      <c r="A1359"/>
      <c r="B1359"/>
      <c r="C1359"/>
      <c r="D1359"/>
      <c r="E1359"/>
      <c r="F1359"/>
      <c r="G1359"/>
      <c r="H1359"/>
    </row>
    <row r="1360" spans="1:8" ht="15" customHeight="1">
      <c r="A1360"/>
      <c r="B1360"/>
      <c r="C1360"/>
      <c r="D1360"/>
      <c r="E1360"/>
      <c r="F1360"/>
      <c r="G1360"/>
      <c r="H1360"/>
    </row>
    <row r="1361" spans="1:8" ht="15" customHeight="1">
      <c r="A1361"/>
      <c r="B1361"/>
      <c r="C1361"/>
      <c r="D1361"/>
      <c r="E1361"/>
      <c r="F1361"/>
      <c r="G1361"/>
      <c r="H1361"/>
    </row>
    <row r="1362" spans="1:8" ht="15" customHeight="1">
      <c r="A1362"/>
      <c r="B1362"/>
      <c r="C1362"/>
      <c r="D1362"/>
      <c r="E1362"/>
      <c r="F1362"/>
      <c r="G1362"/>
      <c r="H1362"/>
    </row>
    <row r="1363" spans="1:8" ht="15" customHeight="1">
      <c r="A1363"/>
      <c r="B1363"/>
      <c r="C1363"/>
      <c r="D1363"/>
      <c r="E1363"/>
      <c r="F1363"/>
      <c r="G1363"/>
      <c r="H1363"/>
    </row>
    <row r="1364" spans="1:8" ht="15" customHeight="1">
      <c r="A1364"/>
      <c r="B1364"/>
      <c r="C1364"/>
      <c r="D1364"/>
      <c r="E1364"/>
      <c r="F1364"/>
      <c r="G1364"/>
      <c r="H1364"/>
    </row>
    <row r="1365" spans="1:8" ht="15" customHeight="1">
      <c r="A1365"/>
      <c r="B1365"/>
      <c r="C1365"/>
      <c r="D1365"/>
      <c r="E1365"/>
      <c r="F1365"/>
      <c r="G1365"/>
      <c r="H1365"/>
    </row>
    <row r="1366" spans="1:8" ht="15" customHeight="1">
      <c r="A1366"/>
      <c r="B1366"/>
      <c r="C1366"/>
      <c r="D1366"/>
      <c r="E1366"/>
      <c r="F1366"/>
      <c r="G1366"/>
      <c r="H1366"/>
    </row>
    <row r="1367" spans="1:8" ht="15" customHeight="1">
      <c r="A1367"/>
      <c r="B1367"/>
      <c r="C1367"/>
      <c r="D1367"/>
      <c r="E1367"/>
      <c r="F1367"/>
      <c r="G1367"/>
      <c r="H1367"/>
    </row>
    <row r="1368" spans="1:8" ht="15" customHeight="1">
      <c r="A1368"/>
      <c r="B1368"/>
      <c r="C1368"/>
      <c r="D1368"/>
      <c r="E1368"/>
      <c r="F1368"/>
      <c r="G1368"/>
      <c r="H1368"/>
    </row>
    <row r="1369" spans="1:8" ht="15" customHeight="1">
      <c r="A1369"/>
      <c r="B1369"/>
      <c r="C1369"/>
      <c r="D1369"/>
      <c r="E1369"/>
      <c r="F1369"/>
      <c r="G1369"/>
      <c r="H1369"/>
    </row>
    <row r="1370" spans="1:8" ht="15" customHeight="1">
      <c r="A1370"/>
      <c r="B1370"/>
      <c r="C1370"/>
      <c r="D1370"/>
      <c r="E1370"/>
      <c r="F1370"/>
      <c r="G1370"/>
      <c r="H1370"/>
    </row>
    <row r="1371" spans="1:8" ht="15" customHeight="1">
      <c r="A1371"/>
      <c r="B1371"/>
      <c r="C1371"/>
      <c r="D1371"/>
      <c r="E1371"/>
      <c r="F1371"/>
      <c r="G1371"/>
      <c r="H1371"/>
    </row>
    <row r="1372" spans="1:8" ht="15" customHeight="1">
      <c r="A1372"/>
      <c r="B1372"/>
      <c r="C1372"/>
      <c r="D1372"/>
      <c r="E1372"/>
      <c r="F1372"/>
      <c r="G1372"/>
      <c r="H1372"/>
    </row>
    <row r="1373" spans="1:8" ht="15" customHeight="1">
      <c r="A1373"/>
      <c r="B1373"/>
      <c r="C1373"/>
      <c r="D1373"/>
      <c r="E1373"/>
      <c r="F1373"/>
      <c r="G1373"/>
      <c r="H1373"/>
    </row>
    <row r="1374" spans="1:8" ht="15" customHeight="1">
      <c r="A1374"/>
      <c r="B1374"/>
      <c r="C1374"/>
      <c r="D1374"/>
      <c r="E1374"/>
      <c r="F1374"/>
      <c r="G1374"/>
      <c r="H1374"/>
    </row>
    <row r="1375" spans="1:8" ht="15" customHeight="1">
      <c r="A1375"/>
      <c r="B1375"/>
      <c r="C1375"/>
      <c r="D1375"/>
      <c r="E1375"/>
      <c r="F1375"/>
      <c r="G1375"/>
      <c r="H1375"/>
    </row>
    <row r="1376" spans="1:8" ht="15" customHeight="1">
      <c r="A1376"/>
      <c r="B1376"/>
      <c r="C1376"/>
      <c r="D1376"/>
      <c r="E1376"/>
      <c r="F1376"/>
      <c r="G1376"/>
      <c r="H1376"/>
    </row>
    <row r="1377" spans="1:8" ht="15" customHeight="1">
      <c r="A1377"/>
      <c r="B1377"/>
      <c r="C1377"/>
      <c r="D1377"/>
      <c r="E1377"/>
      <c r="F1377"/>
      <c r="G1377"/>
      <c r="H1377"/>
    </row>
    <row r="1378" spans="1:8" ht="15" customHeight="1">
      <c r="A1378"/>
      <c r="B1378"/>
      <c r="C1378"/>
      <c r="D1378"/>
      <c r="E1378"/>
      <c r="F1378"/>
      <c r="G1378"/>
      <c r="H1378"/>
    </row>
    <row r="1379" spans="1:8" ht="15" customHeight="1">
      <c r="A1379"/>
      <c r="B1379"/>
      <c r="C1379"/>
      <c r="D1379"/>
      <c r="E1379"/>
      <c r="F1379"/>
      <c r="G1379"/>
      <c r="H1379"/>
    </row>
    <row r="1380" spans="1:8" ht="15" customHeight="1">
      <c r="A1380"/>
      <c r="B1380"/>
      <c r="C1380"/>
      <c r="D1380"/>
      <c r="E1380"/>
      <c r="F1380"/>
      <c r="G1380"/>
      <c r="H1380"/>
    </row>
    <row r="1381" spans="1:8" ht="15" customHeight="1">
      <c r="A1381"/>
      <c r="B1381"/>
      <c r="C1381"/>
      <c r="D1381"/>
      <c r="E1381"/>
      <c r="F1381"/>
      <c r="G1381"/>
      <c r="H1381"/>
    </row>
    <row r="1382" spans="1:8" ht="15" customHeight="1">
      <c r="A1382"/>
      <c r="B1382"/>
      <c r="C1382"/>
      <c r="D1382"/>
      <c r="E1382"/>
      <c r="F1382"/>
      <c r="G1382"/>
      <c r="H1382"/>
    </row>
    <row r="1383" spans="1:8" ht="15" customHeight="1">
      <c r="A1383"/>
      <c r="B1383"/>
      <c r="C1383"/>
      <c r="D1383"/>
      <c r="E1383"/>
      <c r="F1383"/>
      <c r="G1383"/>
      <c r="H1383"/>
    </row>
    <row r="1384" spans="1:8" ht="15" customHeight="1">
      <c r="A1384"/>
      <c r="B1384"/>
      <c r="C1384"/>
      <c r="D1384"/>
      <c r="E1384"/>
      <c r="F1384"/>
      <c r="G1384"/>
      <c r="H1384"/>
    </row>
    <row r="1385" spans="1:8" ht="15" customHeight="1">
      <c r="A1385"/>
      <c r="B1385"/>
      <c r="C1385"/>
      <c r="D1385"/>
      <c r="E1385"/>
      <c r="F1385"/>
      <c r="G1385"/>
      <c r="H1385"/>
    </row>
    <row r="1386" spans="1:8" ht="15" customHeight="1">
      <c r="A1386"/>
      <c r="B1386"/>
      <c r="C1386"/>
      <c r="D1386"/>
      <c r="E1386"/>
      <c r="F1386"/>
      <c r="G1386"/>
      <c r="H1386"/>
    </row>
    <row r="1387" spans="1:8" ht="15" customHeight="1">
      <c r="A1387"/>
      <c r="B1387"/>
      <c r="C1387"/>
      <c r="D1387"/>
      <c r="E1387"/>
      <c r="F1387"/>
      <c r="G1387"/>
      <c r="H1387"/>
    </row>
    <row r="1388" spans="1:8" ht="15" customHeight="1">
      <c r="A1388"/>
      <c r="B1388"/>
      <c r="C1388"/>
      <c r="D1388"/>
      <c r="E1388"/>
      <c r="F1388"/>
      <c r="G1388"/>
      <c r="H1388"/>
    </row>
    <row r="1389" spans="1:8" ht="15" customHeight="1">
      <c r="A1389"/>
      <c r="B1389"/>
      <c r="C1389"/>
      <c r="D1389"/>
      <c r="E1389"/>
      <c r="F1389"/>
      <c r="G1389"/>
      <c r="H1389"/>
    </row>
    <row r="1390" spans="1:8" ht="15" customHeight="1">
      <c r="A1390"/>
      <c r="B1390"/>
      <c r="C1390"/>
      <c r="D1390"/>
      <c r="E1390"/>
      <c r="F1390"/>
      <c r="G1390"/>
      <c r="H1390"/>
    </row>
    <row r="1391" spans="1:8" ht="15" customHeight="1">
      <c r="A1391"/>
      <c r="B1391"/>
      <c r="C1391"/>
      <c r="D1391"/>
      <c r="E1391"/>
      <c r="F1391"/>
      <c r="G1391"/>
      <c r="H1391"/>
    </row>
    <row r="1392" spans="1:8" ht="15" customHeight="1">
      <c r="A1392"/>
      <c r="B1392"/>
      <c r="C1392"/>
      <c r="D1392"/>
      <c r="E1392"/>
      <c r="F1392"/>
      <c r="G1392"/>
      <c r="H1392"/>
    </row>
    <row r="1393" spans="1:8" ht="15" customHeight="1">
      <c r="A1393"/>
      <c r="B1393"/>
      <c r="C1393"/>
      <c r="D1393"/>
      <c r="E1393"/>
      <c r="F1393"/>
      <c r="G1393"/>
      <c r="H1393"/>
    </row>
    <row r="1394" spans="1:8" ht="15" customHeight="1">
      <c r="A1394"/>
      <c r="B1394"/>
      <c r="C1394"/>
      <c r="D1394"/>
      <c r="E1394"/>
      <c r="F1394"/>
      <c r="G1394"/>
      <c r="H1394"/>
    </row>
    <row r="1395" spans="1:8" ht="15" customHeight="1">
      <c r="A1395"/>
      <c r="B1395"/>
      <c r="C1395"/>
      <c r="D1395"/>
      <c r="E1395"/>
      <c r="F1395"/>
      <c r="G1395"/>
      <c r="H1395"/>
    </row>
    <row r="1396" spans="1:8" ht="15" customHeight="1">
      <c r="A1396"/>
      <c r="B1396"/>
      <c r="C1396"/>
      <c r="D1396"/>
      <c r="E1396"/>
      <c r="F1396"/>
      <c r="G1396"/>
      <c r="H1396"/>
    </row>
    <row r="1397" spans="1:8" ht="15" customHeight="1">
      <c r="A1397"/>
      <c r="B1397"/>
      <c r="C1397"/>
      <c r="D1397"/>
      <c r="E1397"/>
      <c r="F1397"/>
      <c r="G1397"/>
      <c r="H1397"/>
    </row>
    <row r="1398" spans="1:8" ht="15" customHeight="1">
      <c r="A1398"/>
      <c r="B1398"/>
      <c r="C1398"/>
      <c r="D1398"/>
      <c r="E1398"/>
      <c r="F1398"/>
      <c r="G1398"/>
      <c r="H1398"/>
    </row>
    <row r="1399" spans="1:8" ht="15" customHeight="1">
      <c r="A1399"/>
      <c r="B1399"/>
      <c r="C1399"/>
      <c r="D1399"/>
      <c r="E1399"/>
      <c r="F1399"/>
      <c r="G1399"/>
      <c r="H1399"/>
    </row>
    <row r="1400" spans="1:8" ht="15" customHeight="1">
      <c r="A1400"/>
      <c r="B1400"/>
      <c r="C1400"/>
      <c r="D1400"/>
      <c r="E1400"/>
      <c r="F1400"/>
      <c r="G1400"/>
      <c r="H1400"/>
    </row>
    <row r="1401" spans="1:8" ht="15" customHeight="1">
      <c r="A1401"/>
      <c r="B1401"/>
      <c r="C1401"/>
      <c r="D1401"/>
      <c r="E1401"/>
      <c r="F1401"/>
      <c r="G1401"/>
      <c r="H1401"/>
    </row>
    <row r="1402" spans="1:8" ht="15" customHeight="1">
      <c r="A1402"/>
      <c r="B1402"/>
      <c r="C1402"/>
      <c r="D1402"/>
      <c r="E1402"/>
      <c r="F1402"/>
      <c r="G1402"/>
      <c r="H1402"/>
    </row>
    <row r="1403" spans="1:8" ht="15" customHeight="1">
      <c r="A1403"/>
      <c r="B1403"/>
      <c r="C1403"/>
      <c r="D1403"/>
      <c r="E1403"/>
      <c r="F1403"/>
      <c r="G1403"/>
      <c r="H1403"/>
    </row>
    <row r="1404" spans="1:8" ht="15" customHeight="1">
      <c r="A1404"/>
      <c r="B1404"/>
      <c r="C1404"/>
      <c r="D1404"/>
      <c r="E1404"/>
      <c r="F1404"/>
      <c r="G1404"/>
      <c r="H1404"/>
    </row>
    <row r="1405" spans="1:8" ht="15" customHeight="1">
      <c r="A1405"/>
      <c r="B1405"/>
      <c r="C1405"/>
      <c r="D1405"/>
      <c r="E1405"/>
      <c r="F1405"/>
      <c r="G1405"/>
      <c r="H1405"/>
    </row>
    <row r="1406" spans="1:8" ht="15" customHeight="1">
      <c r="A1406"/>
      <c r="B1406"/>
      <c r="C1406"/>
      <c r="D1406"/>
      <c r="E1406"/>
      <c r="F1406"/>
      <c r="G1406"/>
      <c r="H1406"/>
    </row>
    <row r="1407" spans="1:8" ht="15" customHeight="1">
      <c r="A1407"/>
      <c r="B1407"/>
      <c r="C1407"/>
      <c r="D1407"/>
      <c r="E1407"/>
      <c r="F1407"/>
      <c r="G1407"/>
      <c r="H1407"/>
    </row>
    <row r="1408" spans="1:8" ht="15" customHeight="1">
      <c r="A1408"/>
      <c r="B1408"/>
      <c r="C1408"/>
      <c r="D1408"/>
      <c r="E1408"/>
      <c r="F1408"/>
      <c r="G1408"/>
      <c r="H1408"/>
    </row>
    <row r="1409" spans="1:8" ht="15" customHeight="1">
      <c r="A1409"/>
      <c r="B1409"/>
      <c r="C1409"/>
      <c r="D1409"/>
      <c r="E1409"/>
      <c r="F1409"/>
      <c r="G1409"/>
      <c r="H1409"/>
    </row>
    <row r="1410" spans="1:8" ht="15" customHeight="1">
      <c r="A1410"/>
      <c r="B1410"/>
      <c r="C1410"/>
      <c r="D1410"/>
      <c r="E1410"/>
      <c r="F1410"/>
      <c r="G1410"/>
      <c r="H1410"/>
    </row>
    <row r="1411" spans="1:8" ht="15" customHeight="1">
      <c r="A1411"/>
      <c r="B1411"/>
      <c r="C1411"/>
      <c r="D1411"/>
      <c r="E1411"/>
      <c r="F1411"/>
      <c r="G1411"/>
      <c r="H1411"/>
    </row>
    <row r="1412" spans="1:8" ht="15" customHeight="1">
      <c r="A1412"/>
      <c r="B1412"/>
      <c r="C1412"/>
      <c r="D1412"/>
      <c r="E1412"/>
      <c r="F1412"/>
      <c r="G1412"/>
      <c r="H1412"/>
    </row>
    <row r="1413" spans="1:8" ht="15" customHeight="1">
      <c r="A1413"/>
      <c r="B1413"/>
      <c r="C1413"/>
      <c r="D1413"/>
      <c r="E1413"/>
      <c r="F1413"/>
      <c r="G1413"/>
      <c r="H1413"/>
    </row>
    <row r="1414" spans="1:8" ht="15" customHeight="1">
      <c r="A1414"/>
      <c r="B1414"/>
      <c r="C1414"/>
      <c r="D1414"/>
      <c r="E1414"/>
      <c r="F1414"/>
      <c r="G1414"/>
      <c r="H1414"/>
    </row>
    <row r="1415" spans="1:8" ht="15" customHeight="1">
      <c r="A1415"/>
      <c r="B1415"/>
      <c r="C1415"/>
      <c r="D1415"/>
      <c r="E1415"/>
      <c r="F1415"/>
      <c r="G1415"/>
      <c r="H1415"/>
    </row>
    <row r="1416" spans="1:8" ht="15" customHeight="1">
      <c r="A1416"/>
      <c r="B1416"/>
      <c r="C1416"/>
      <c r="D1416"/>
      <c r="E1416"/>
      <c r="F1416"/>
      <c r="G1416"/>
      <c r="H1416"/>
    </row>
    <row r="1417" spans="1:8" ht="15" customHeight="1">
      <c r="A1417"/>
      <c r="B1417"/>
      <c r="C1417"/>
      <c r="D1417"/>
      <c r="E1417"/>
      <c r="F1417"/>
      <c r="G1417"/>
      <c r="H1417"/>
    </row>
    <row r="1418" spans="1:8" ht="15" customHeight="1">
      <c r="A1418"/>
      <c r="B1418"/>
      <c r="C1418"/>
      <c r="D1418"/>
      <c r="E1418"/>
      <c r="F1418"/>
      <c r="G1418"/>
      <c r="H1418"/>
    </row>
    <row r="1419" spans="1:8" ht="15" customHeight="1">
      <c r="A1419"/>
      <c r="B1419"/>
      <c r="C1419"/>
      <c r="D1419"/>
      <c r="E1419"/>
      <c r="F1419"/>
      <c r="G1419"/>
      <c r="H1419"/>
    </row>
    <row r="1420" spans="1:8" ht="15" customHeight="1">
      <c r="A1420"/>
      <c r="B1420"/>
      <c r="C1420"/>
      <c r="D1420"/>
      <c r="E1420"/>
      <c r="F1420"/>
      <c r="G1420"/>
      <c r="H1420"/>
    </row>
    <row r="1421" spans="1:8" ht="15" customHeight="1">
      <c r="A1421"/>
      <c r="B1421"/>
      <c r="C1421"/>
      <c r="D1421"/>
      <c r="E1421"/>
      <c r="F1421"/>
      <c r="G1421"/>
      <c r="H1421"/>
    </row>
    <row r="1422" spans="1:8" ht="15" customHeight="1">
      <c r="A1422"/>
      <c r="B1422"/>
      <c r="C1422"/>
      <c r="D1422"/>
      <c r="E1422"/>
      <c r="F1422"/>
      <c r="G1422"/>
      <c r="H1422"/>
    </row>
    <row r="1423" spans="1:8" ht="15" customHeight="1">
      <c r="A1423"/>
      <c r="B1423"/>
      <c r="C1423"/>
      <c r="D1423"/>
      <c r="E1423"/>
      <c r="F1423"/>
      <c r="G1423"/>
      <c r="H1423"/>
    </row>
    <row r="1424" spans="1:8" ht="15" customHeight="1">
      <c r="A1424"/>
      <c r="B1424"/>
      <c r="C1424"/>
      <c r="D1424"/>
      <c r="E1424"/>
      <c r="F1424"/>
      <c r="G1424"/>
      <c r="H1424"/>
    </row>
    <row r="1425" spans="1:8" ht="15" customHeight="1">
      <c r="A1425"/>
      <c r="B1425"/>
      <c r="C1425"/>
      <c r="D1425"/>
      <c r="E1425"/>
      <c r="F1425"/>
      <c r="G1425"/>
      <c r="H1425"/>
    </row>
    <row r="1426" spans="1:8" ht="15" customHeight="1">
      <c r="A1426"/>
      <c r="B1426"/>
      <c r="C1426"/>
      <c r="D1426"/>
      <c r="E1426"/>
      <c r="F1426"/>
      <c r="G1426"/>
      <c r="H1426"/>
    </row>
    <row r="1427" spans="1:8" ht="15" customHeight="1">
      <c r="A1427"/>
      <c r="B1427"/>
      <c r="C1427"/>
      <c r="D1427"/>
      <c r="E1427"/>
      <c r="F1427"/>
      <c r="G1427"/>
      <c r="H1427"/>
    </row>
    <row r="1428" spans="1:8" ht="15" customHeight="1">
      <c r="A1428"/>
      <c r="B1428"/>
      <c r="C1428"/>
      <c r="D1428"/>
      <c r="E1428"/>
      <c r="F1428"/>
      <c r="G1428"/>
      <c r="H1428"/>
    </row>
    <row r="1429" spans="1:8" ht="15" customHeight="1">
      <c r="A1429"/>
      <c r="B1429"/>
      <c r="C1429"/>
      <c r="D1429"/>
      <c r="E1429"/>
      <c r="F1429"/>
      <c r="G1429"/>
      <c r="H1429"/>
    </row>
    <row r="1430" spans="1:8" ht="15" customHeight="1">
      <c r="A1430"/>
      <c r="B1430"/>
      <c r="C1430"/>
      <c r="D1430"/>
      <c r="E1430"/>
      <c r="F1430"/>
      <c r="G1430"/>
      <c r="H1430"/>
    </row>
    <row r="1431" spans="1:8" ht="15" customHeight="1">
      <c r="A1431"/>
      <c r="B1431"/>
      <c r="C1431"/>
      <c r="D1431"/>
      <c r="E1431"/>
      <c r="F1431"/>
      <c r="G1431"/>
      <c r="H1431"/>
    </row>
    <row r="1432" spans="1:8" ht="15" customHeight="1">
      <c r="A1432"/>
      <c r="B1432"/>
      <c r="C1432"/>
      <c r="D1432"/>
      <c r="E1432"/>
      <c r="F1432"/>
      <c r="G1432"/>
      <c r="H1432"/>
    </row>
    <row r="1433" spans="1:8" ht="15" customHeight="1">
      <c r="A1433"/>
      <c r="B1433"/>
      <c r="C1433"/>
      <c r="D1433"/>
      <c r="E1433"/>
      <c r="F1433"/>
      <c r="G1433"/>
      <c r="H1433"/>
    </row>
    <row r="1434" spans="1:8" ht="15" customHeight="1">
      <c r="A1434"/>
      <c r="B1434"/>
      <c r="C1434"/>
      <c r="D1434"/>
      <c r="E1434"/>
      <c r="F1434"/>
      <c r="G1434"/>
      <c r="H1434"/>
    </row>
    <row r="1435" spans="1:8" ht="15" customHeight="1">
      <c r="A1435"/>
      <c r="B1435"/>
      <c r="C1435"/>
      <c r="D1435"/>
      <c r="E1435"/>
      <c r="F1435"/>
      <c r="G1435"/>
      <c r="H1435"/>
    </row>
    <row r="1436" spans="1:8" ht="15" customHeight="1">
      <c r="A1436"/>
      <c r="B1436"/>
      <c r="C1436"/>
      <c r="D1436"/>
      <c r="E1436"/>
      <c r="F1436"/>
      <c r="G1436"/>
      <c r="H1436"/>
    </row>
    <row r="1437" spans="1:8" ht="15" customHeight="1">
      <c r="A1437"/>
      <c r="B1437"/>
      <c r="C1437"/>
      <c r="D1437"/>
      <c r="E1437"/>
      <c r="F1437"/>
      <c r="G1437"/>
      <c r="H1437"/>
    </row>
    <row r="1438" spans="1:8" ht="15" customHeight="1">
      <c r="A1438"/>
      <c r="B1438"/>
      <c r="C1438"/>
      <c r="D1438"/>
      <c r="E1438"/>
      <c r="F1438"/>
      <c r="G1438"/>
      <c r="H1438"/>
    </row>
    <row r="1439" spans="1:8" ht="15" customHeight="1">
      <c r="A1439"/>
      <c r="B1439"/>
      <c r="C1439"/>
      <c r="D1439"/>
      <c r="E1439"/>
      <c r="F1439"/>
      <c r="G1439"/>
      <c r="H1439"/>
    </row>
    <row r="1440" spans="1:8" ht="15" customHeight="1">
      <c r="A1440"/>
      <c r="B1440"/>
      <c r="C1440"/>
      <c r="D1440"/>
      <c r="E1440"/>
      <c r="F1440"/>
      <c r="G1440"/>
      <c r="H1440"/>
    </row>
    <row r="1441" spans="1:8" ht="15" customHeight="1">
      <c r="A1441"/>
      <c r="B1441"/>
      <c r="C1441"/>
      <c r="D1441"/>
      <c r="E1441"/>
      <c r="F1441"/>
      <c r="G1441"/>
      <c r="H1441"/>
    </row>
    <row r="1442" spans="1:8" ht="15" customHeight="1">
      <c r="A1442"/>
      <c r="B1442"/>
      <c r="C1442"/>
      <c r="D1442"/>
      <c r="E1442"/>
      <c r="F1442"/>
      <c r="G1442"/>
      <c r="H1442"/>
    </row>
    <row r="1443" spans="1:8" ht="15" customHeight="1">
      <c r="A1443"/>
      <c r="B1443"/>
      <c r="C1443"/>
      <c r="D1443"/>
      <c r="E1443"/>
      <c r="F1443"/>
      <c r="G1443"/>
      <c r="H1443"/>
    </row>
    <row r="1444" spans="1:8" ht="15" customHeight="1">
      <c r="A1444"/>
      <c r="B1444"/>
      <c r="C1444"/>
      <c r="D1444"/>
      <c r="E1444"/>
      <c r="F1444"/>
      <c r="G1444"/>
      <c r="H1444"/>
    </row>
    <row r="1445" spans="1:8" ht="15" customHeight="1">
      <c r="A1445"/>
      <c r="B1445"/>
      <c r="C1445"/>
      <c r="D1445"/>
      <c r="E1445"/>
      <c r="F1445"/>
      <c r="G1445"/>
      <c r="H1445"/>
    </row>
    <row r="1446" spans="1:8" ht="15" customHeight="1">
      <c r="A1446"/>
      <c r="B1446"/>
      <c r="C1446"/>
      <c r="D1446"/>
      <c r="E1446"/>
      <c r="F1446"/>
      <c r="G1446"/>
      <c r="H1446"/>
    </row>
    <row r="1447" spans="1:8" ht="15" customHeight="1">
      <c r="A1447"/>
      <c r="B1447"/>
      <c r="C1447"/>
      <c r="D1447"/>
      <c r="E1447"/>
      <c r="F1447"/>
      <c r="G1447"/>
      <c r="H1447"/>
    </row>
    <row r="1448" spans="1:8" ht="15" customHeight="1">
      <c r="A1448"/>
      <c r="B1448"/>
      <c r="C1448"/>
      <c r="D1448"/>
      <c r="E1448"/>
      <c r="F1448"/>
      <c r="G1448"/>
      <c r="H1448"/>
    </row>
    <row r="1449" spans="1:8" ht="15" customHeight="1">
      <c r="A1449"/>
      <c r="B1449"/>
      <c r="C1449"/>
      <c r="D1449"/>
      <c r="E1449"/>
      <c r="F1449"/>
      <c r="G1449"/>
      <c r="H1449"/>
    </row>
    <row r="1450" spans="1:8" ht="15" customHeight="1">
      <c r="A1450"/>
      <c r="B1450"/>
      <c r="C1450"/>
      <c r="D1450"/>
      <c r="E1450"/>
      <c r="F1450"/>
      <c r="G1450"/>
      <c r="H1450"/>
    </row>
    <row r="1451" spans="1:8" ht="15" customHeight="1">
      <c r="A1451"/>
      <c r="B1451"/>
      <c r="C1451"/>
      <c r="D1451"/>
      <c r="E1451"/>
      <c r="F1451"/>
      <c r="G1451"/>
      <c r="H1451"/>
    </row>
    <row r="1452" spans="1:8" ht="15" customHeight="1">
      <c r="A1452"/>
      <c r="B1452"/>
      <c r="C1452"/>
      <c r="D1452"/>
      <c r="E1452"/>
      <c r="F1452"/>
      <c r="G1452"/>
      <c r="H1452"/>
    </row>
    <row r="1453" spans="1:8" ht="15" customHeight="1">
      <c r="A1453"/>
      <c r="B1453"/>
      <c r="C1453"/>
      <c r="D1453"/>
      <c r="E1453"/>
      <c r="F1453"/>
      <c r="G1453"/>
      <c r="H1453"/>
    </row>
    <row r="1454" spans="1:8" ht="15" customHeight="1">
      <c r="A1454"/>
      <c r="B1454"/>
      <c r="C1454"/>
      <c r="D1454"/>
      <c r="E1454"/>
      <c r="F1454"/>
      <c r="G1454"/>
      <c r="H1454"/>
    </row>
    <row r="1455" spans="1:8" ht="15" customHeight="1">
      <c r="A1455"/>
      <c r="B1455"/>
      <c r="C1455"/>
      <c r="D1455"/>
      <c r="E1455"/>
      <c r="F1455"/>
      <c r="G1455"/>
      <c r="H1455"/>
    </row>
    <row r="1456" spans="1:8" ht="15" customHeight="1">
      <c r="A1456"/>
      <c r="B1456"/>
      <c r="C1456"/>
      <c r="D1456"/>
      <c r="E1456"/>
      <c r="F1456"/>
      <c r="G1456"/>
      <c r="H1456"/>
    </row>
    <row r="1457" spans="1:8" ht="15" customHeight="1">
      <c r="A1457"/>
      <c r="B1457"/>
      <c r="C1457"/>
      <c r="D1457"/>
      <c r="E1457"/>
      <c r="F1457"/>
      <c r="G1457"/>
      <c r="H1457"/>
    </row>
    <row r="1458" spans="1:8" ht="15" customHeight="1">
      <c r="A1458"/>
      <c r="B1458"/>
      <c r="C1458"/>
      <c r="D1458"/>
      <c r="E1458"/>
      <c r="F1458"/>
      <c r="G1458"/>
      <c r="H1458"/>
    </row>
    <row r="1459" spans="1:8" ht="15" customHeight="1">
      <c r="A1459"/>
      <c r="B1459"/>
      <c r="C1459"/>
      <c r="D1459"/>
      <c r="E1459"/>
      <c r="F1459"/>
      <c r="G1459"/>
      <c r="H1459"/>
    </row>
    <row r="1460" spans="1:8" ht="15" customHeight="1">
      <c r="A1460"/>
      <c r="B1460"/>
      <c r="C1460"/>
      <c r="D1460"/>
      <c r="E1460"/>
      <c r="F1460"/>
      <c r="G1460"/>
      <c r="H1460"/>
    </row>
    <row r="1461" spans="1:8" ht="15" customHeight="1">
      <c r="A1461"/>
      <c r="B1461"/>
      <c r="C1461"/>
      <c r="D1461"/>
      <c r="E1461"/>
      <c r="F1461"/>
      <c r="G1461"/>
      <c r="H1461"/>
    </row>
    <row r="1462" spans="1:8" ht="15" customHeight="1">
      <c r="A1462"/>
      <c r="B1462"/>
      <c r="C1462"/>
      <c r="D1462"/>
      <c r="E1462"/>
      <c r="F1462"/>
      <c r="G1462"/>
      <c r="H1462"/>
    </row>
    <row r="1463" spans="1:8" ht="15" customHeight="1">
      <c r="A1463"/>
      <c r="B1463"/>
      <c r="C1463"/>
      <c r="D1463"/>
      <c r="E1463"/>
      <c r="F1463"/>
      <c r="G1463"/>
      <c r="H1463"/>
    </row>
    <row r="1464" spans="1:8" ht="15" customHeight="1">
      <c r="A1464"/>
      <c r="B1464"/>
      <c r="C1464"/>
      <c r="D1464"/>
      <c r="E1464"/>
      <c r="F1464"/>
      <c r="G1464"/>
      <c r="H1464"/>
    </row>
    <row r="1465" spans="1:8" ht="15" customHeight="1">
      <c r="A1465"/>
      <c r="B1465"/>
      <c r="C1465"/>
      <c r="D1465"/>
      <c r="E1465"/>
      <c r="F1465"/>
      <c r="G1465"/>
      <c r="H1465"/>
    </row>
    <row r="1466" spans="1:8" ht="15" customHeight="1">
      <c r="A1466"/>
      <c r="B1466"/>
      <c r="C1466"/>
      <c r="D1466"/>
      <c r="E1466"/>
      <c r="F1466"/>
      <c r="G1466"/>
      <c r="H1466"/>
    </row>
    <row r="1467" spans="1:8" ht="15" customHeight="1">
      <c r="A1467"/>
      <c r="B1467"/>
      <c r="C1467"/>
      <c r="D1467"/>
      <c r="E1467"/>
      <c r="F1467"/>
      <c r="G1467"/>
      <c r="H1467"/>
    </row>
    <row r="1468" spans="1:8" ht="15" customHeight="1">
      <c r="A1468"/>
      <c r="B1468"/>
      <c r="C1468"/>
      <c r="D1468"/>
      <c r="E1468"/>
      <c r="F1468"/>
      <c r="G1468"/>
      <c r="H1468"/>
    </row>
    <row r="1469" spans="1:8" ht="15" customHeight="1">
      <c r="A1469"/>
      <c r="B1469"/>
      <c r="C1469"/>
      <c r="D1469"/>
      <c r="E1469"/>
      <c r="F1469"/>
      <c r="G1469"/>
      <c r="H1469"/>
    </row>
    <row r="1470" spans="1:8" ht="15" customHeight="1">
      <c r="A1470"/>
      <c r="B1470"/>
      <c r="C1470"/>
      <c r="D1470"/>
      <c r="E1470"/>
      <c r="F1470"/>
      <c r="G1470"/>
      <c r="H1470"/>
    </row>
    <row r="1471" spans="1:8" ht="15" customHeight="1">
      <c r="A1471"/>
      <c r="B1471"/>
      <c r="C1471"/>
      <c r="D1471"/>
      <c r="E1471"/>
      <c r="F1471"/>
      <c r="G1471"/>
      <c r="H1471"/>
    </row>
    <row r="1472" spans="1:8" ht="15" customHeight="1">
      <c r="A1472"/>
      <c r="B1472"/>
      <c r="C1472"/>
      <c r="D1472"/>
      <c r="E1472"/>
      <c r="F1472"/>
      <c r="G1472"/>
      <c r="H1472"/>
    </row>
    <row r="1473" spans="1:8" ht="15" customHeight="1">
      <c r="A1473"/>
      <c r="B1473"/>
      <c r="C1473"/>
      <c r="D1473"/>
      <c r="E1473"/>
      <c r="F1473"/>
      <c r="G1473"/>
      <c r="H1473"/>
    </row>
    <row r="1474" spans="1:8" ht="15" customHeight="1">
      <c r="A1474"/>
      <c r="B1474"/>
      <c r="C1474"/>
      <c r="D1474"/>
      <c r="E1474"/>
      <c r="F1474"/>
      <c r="G1474"/>
      <c r="H1474"/>
    </row>
    <row r="1475" spans="1:8" ht="15" customHeight="1">
      <c r="A1475"/>
      <c r="B1475"/>
      <c r="C1475"/>
      <c r="D1475"/>
      <c r="E1475"/>
      <c r="F1475"/>
      <c r="G1475"/>
      <c r="H1475"/>
    </row>
    <row r="1476" spans="1:8" ht="15" customHeight="1">
      <c r="A1476"/>
      <c r="B1476"/>
      <c r="C1476"/>
      <c r="D1476"/>
      <c r="E1476"/>
      <c r="F1476"/>
      <c r="G1476"/>
      <c r="H1476"/>
    </row>
    <row r="1477" spans="1:8" ht="15" customHeight="1">
      <c r="A1477"/>
      <c r="B1477"/>
      <c r="C1477"/>
      <c r="D1477"/>
      <c r="E1477"/>
      <c r="F1477"/>
      <c r="G1477"/>
      <c r="H1477"/>
    </row>
    <row r="1478" spans="1:8" ht="15" customHeight="1">
      <c r="A1478"/>
      <c r="B1478"/>
      <c r="C1478"/>
      <c r="D1478"/>
      <c r="E1478"/>
      <c r="F1478"/>
      <c r="G1478"/>
      <c r="H1478"/>
    </row>
    <row r="1479" spans="1:8" ht="15" customHeight="1">
      <c r="A1479"/>
      <c r="B1479"/>
      <c r="C1479"/>
      <c r="D1479"/>
      <c r="E1479"/>
      <c r="F1479"/>
      <c r="G1479"/>
      <c r="H1479"/>
    </row>
    <row r="1480" spans="1:8" ht="15" customHeight="1">
      <c r="A1480"/>
      <c r="B1480"/>
      <c r="C1480"/>
      <c r="D1480"/>
      <c r="E1480"/>
      <c r="F1480"/>
      <c r="G1480"/>
      <c r="H1480"/>
    </row>
    <row r="1481" spans="1:8" ht="15" customHeight="1">
      <c r="A1481"/>
      <c r="B1481"/>
      <c r="C1481"/>
      <c r="D1481"/>
      <c r="E1481"/>
      <c r="F1481"/>
      <c r="G1481"/>
      <c r="H1481"/>
    </row>
    <row r="1482" spans="1:8" ht="15" customHeight="1">
      <c r="A1482"/>
      <c r="B1482"/>
      <c r="C1482"/>
      <c r="D1482"/>
      <c r="E1482"/>
      <c r="F1482"/>
      <c r="G1482"/>
      <c r="H1482"/>
    </row>
    <row r="1483" spans="1:8" ht="15" customHeight="1">
      <c r="A1483"/>
      <c r="B1483"/>
      <c r="C1483"/>
      <c r="D1483"/>
      <c r="E1483"/>
      <c r="F1483"/>
      <c r="G1483"/>
      <c r="H1483"/>
    </row>
    <row r="1484" spans="1:8" ht="15" customHeight="1">
      <c r="A1484"/>
      <c r="B1484"/>
      <c r="C1484"/>
      <c r="D1484"/>
      <c r="E1484"/>
      <c r="F1484"/>
      <c r="G1484"/>
      <c r="H1484"/>
    </row>
    <row r="1485" spans="1:8" ht="15" customHeight="1">
      <c r="A1485"/>
      <c r="B1485"/>
      <c r="C1485"/>
      <c r="D1485"/>
      <c r="E1485"/>
      <c r="F1485"/>
      <c r="G1485"/>
      <c r="H1485"/>
    </row>
    <row r="1486" spans="1:8" ht="15" customHeight="1">
      <c r="A1486"/>
      <c r="B1486"/>
      <c r="C1486"/>
      <c r="D1486"/>
      <c r="E1486"/>
      <c r="F1486"/>
      <c r="G1486"/>
      <c r="H1486"/>
    </row>
    <row r="1487" spans="1:8" ht="15" customHeight="1">
      <c r="A1487"/>
      <c r="B1487"/>
      <c r="C1487"/>
      <c r="D1487"/>
      <c r="E1487"/>
      <c r="F1487"/>
      <c r="G1487"/>
      <c r="H1487"/>
    </row>
    <row r="1488" spans="1:8" ht="15" customHeight="1">
      <c r="A1488"/>
      <c r="B1488"/>
      <c r="C1488"/>
      <c r="D1488"/>
      <c r="E1488"/>
      <c r="F1488"/>
      <c r="G1488"/>
      <c r="H1488"/>
    </row>
    <row r="1489" spans="1:8" ht="15" customHeight="1">
      <c r="A1489"/>
      <c r="B1489"/>
      <c r="C1489"/>
      <c r="D1489"/>
      <c r="E1489"/>
      <c r="F1489"/>
      <c r="G1489"/>
      <c r="H1489"/>
    </row>
    <row r="1490" spans="1:8" ht="15" customHeight="1">
      <c r="A1490"/>
      <c r="B1490"/>
      <c r="C1490"/>
      <c r="D1490"/>
      <c r="E1490"/>
      <c r="F1490"/>
      <c r="G1490"/>
      <c r="H1490"/>
    </row>
    <row r="1491" spans="1:8" ht="15" customHeight="1">
      <c r="A1491"/>
      <c r="B1491"/>
      <c r="C1491"/>
      <c r="D1491"/>
      <c r="E1491"/>
      <c r="F1491"/>
      <c r="G1491"/>
      <c r="H1491"/>
    </row>
    <row r="1492" spans="1:8" ht="15" customHeight="1">
      <c r="A1492"/>
      <c r="B1492"/>
      <c r="C1492"/>
      <c r="D1492"/>
      <c r="E1492"/>
      <c r="F1492"/>
      <c r="G1492"/>
      <c r="H1492"/>
    </row>
    <row r="1493" spans="1:8" ht="15" customHeight="1">
      <c r="A1493"/>
      <c r="B1493"/>
      <c r="C1493"/>
      <c r="D1493"/>
      <c r="E1493"/>
      <c r="F1493"/>
      <c r="G1493"/>
      <c r="H1493"/>
    </row>
    <row r="1494" spans="1:8" ht="15" customHeight="1">
      <c r="A1494"/>
      <c r="B1494"/>
      <c r="C1494"/>
      <c r="D1494"/>
      <c r="E1494"/>
      <c r="F1494"/>
      <c r="G1494"/>
      <c r="H1494"/>
    </row>
    <row r="1495" spans="1:8" ht="15" customHeight="1">
      <c r="A1495"/>
      <c r="B1495"/>
      <c r="C1495"/>
      <c r="D1495"/>
      <c r="E1495"/>
      <c r="F1495"/>
      <c r="G1495"/>
      <c r="H1495"/>
    </row>
    <row r="1496" spans="1:8" ht="15" customHeight="1">
      <c r="A1496"/>
      <c r="B1496"/>
      <c r="C1496"/>
      <c r="D1496"/>
      <c r="E1496"/>
      <c r="F1496"/>
      <c r="G1496"/>
      <c r="H1496"/>
    </row>
    <row r="1497" spans="1:8" ht="15" customHeight="1">
      <c r="A1497"/>
      <c r="B1497"/>
      <c r="C1497"/>
      <c r="D1497"/>
      <c r="E1497"/>
      <c r="F1497"/>
      <c r="G1497"/>
      <c r="H1497"/>
    </row>
    <row r="1498" spans="1:8" ht="15" customHeight="1">
      <c r="A1498"/>
      <c r="B1498"/>
      <c r="C1498"/>
      <c r="D1498"/>
      <c r="E1498"/>
      <c r="F1498"/>
      <c r="G1498"/>
      <c r="H1498"/>
    </row>
    <row r="1499" spans="1:8" ht="15" customHeight="1">
      <c r="A1499"/>
      <c r="B1499"/>
      <c r="C1499"/>
      <c r="D1499"/>
      <c r="E1499"/>
      <c r="F1499"/>
      <c r="G1499"/>
      <c r="H1499"/>
    </row>
    <row r="1500" spans="1:8" ht="15" customHeight="1">
      <c r="A1500"/>
      <c r="B1500"/>
      <c r="C1500"/>
      <c r="D1500"/>
      <c r="E1500"/>
      <c r="F1500"/>
      <c r="G1500"/>
      <c r="H1500"/>
    </row>
  </sheetData>
  <mergeCells count="28">
    <mergeCell ref="B46:H46"/>
    <mergeCell ref="B48:H48"/>
    <mergeCell ref="B51:H51"/>
    <mergeCell ref="B52:E52"/>
    <mergeCell ref="B30:H30"/>
    <mergeCell ref="B33:H33"/>
    <mergeCell ref="B36:E36"/>
    <mergeCell ref="A40:H40"/>
    <mergeCell ref="A42:H42"/>
    <mergeCell ref="B49:H49"/>
    <mergeCell ref="B43:H43"/>
    <mergeCell ref="B45:H45"/>
    <mergeCell ref="B14:H14"/>
    <mergeCell ref="B17:H17"/>
    <mergeCell ref="B29:H29"/>
    <mergeCell ref="B32:H32"/>
    <mergeCell ref="B35:H35"/>
    <mergeCell ref="B16:H16"/>
    <mergeCell ref="B19:H19"/>
    <mergeCell ref="B20:E20"/>
    <mergeCell ref="A24:H24"/>
    <mergeCell ref="B27:H27"/>
    <mergeCell ref="A26:H26"/>
    <mergeCell ref="A5:H6"/>
    <mergeCell ref="A8:H8"/>
    <mergeCell ref="A10:H10"/>
    <mergeCell ref="B13:H13"/>
    <mergeCell ref="B11:H11"/>
  </mergeCells>
  <phoneticPr fontId="33" type="noConversion"/>
  <pageMargins left="0.7" right="0.7" top="0.75" bottom="0.75" header="0.3" footer="0.3"/>
  <pageSetup orientation="portrait" r:id="rId1"/>
  <headerFooter>
    <oddFooter>&amp;C&amp;"Arial,Regular"&amp;8&amp;P</oddFooter>
  </headerFooter>
  <rowBreaks count="3" manualBreakCount="3">
    <brk id="21" max="7" man="1"/>
    <brk id="37" max="7" man="1"/>
    <brk id="53" max="16383" man="1"/>
  </rowBreaks>
  <colBreaks count="1" manualBreakCount="1">
    <brk id="8" max="1048575"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62016-FA2D-4E8B-9BB5-DE2C9FB4E304}">
  <sheetPr codeName="Sheet5"/>
  <dimension ref="A2:H22"/>
  <sheetViews>
    <sheetView tabSelected="1" view="pageBreakPreview" topLeftCell="A5" zoomScaleNormal="100" zoomScaleSheetLayoutView="100" workbookViewId="0">
      <selection activeCell="P17" sqref="P17"/>
    </sheetView>
  </sheetViews>
  <sheetFormatPr defaultColWidth="9.1796875" defaultRowHeight="15"/>
  <cols>
    <col min="1" max="1" width="3.1796875" style="2" customWidth="1"/>
    <col min="2" max="2" width="25.1796875" style="2" customWidth="1"/>
    <col min="3" max="3" width="1.81640625" style="2" customWidth="1"/>
    <col min="4" max="4" width="14.453125" style="2" customWidth="1"/>
    <col min="5" max="5" width="8.36328125" style="2" customWidth="1"/>
    <col min="6" max="6" width="14.81640625" style="2" customWidth="1"/>
    <col min="7" max="7" width="4.81640625" style="2" customWidth="1"/>
    <col min="8" max="8" width="2.36328125" style="2" customWidth="1"/>
    <col min="9" max="16384" width="9.1796875" style="2"/>
  </cols>
  <sheetData>
    <row r="2" spans="1:8" ht="15.6" thickTop="1">
      <c r="A2" s="21"/>
      <c r="B2" s="21"/>
      <c r="C2" s="21"/>
      <c r="D2" s="21"/>
      <c r="E2" s="21"/>
      <c r="F2" s="21"/>
      <c r="G2" s="21"/>
      <c r="H2" s="21"/>
    </row>
    <row r="3" spans="1:8" ht="22.8">
      <c r="A3" s="12" t="s">
        <v>41</v>
      </c>
      <c r="B3" s="12"/>
      <c r="C3" s="5"/>
      <c r="D3" s="5"/>
      <c r="E3" s="5"/>
      <c r="F3" s="5"/>
      <c r="G3" s="5"/>
      <c r="H3" s="5"/>
    </row>
    <row r="5" spans="1:8" ht="234.6" customHeight="1">
      <c r="A5" s="26" t="s">
        <v>42</v>
      </c>
      <c r="B5" s="26"/>
      <c r="C5" s="27" t="s">
        <v>15</v>
      </c>
      <c r="D5" s="257" t="s">
        <v>43</v>
      </c>
      <c r="E5" s="257"/>
      <c r="F5" s="257"/>
      <c r="G5" s="257"/>
      <c r="H5" s="257"/>
    </row>
    <row r="6" spans="1:8">
      <c r="A6" s="26"/>
      <c r="B6" s="26"/>
      <c r="C6" s="27"/>
      <c r="D6" s="19"/>
      <c r="E6" s="19"/>
      <c r="F6" s="19"/>
      <c r="G6" s="19"/>
      <c r="H6" s="19"/>
    </row>
    <row r="7" spans="1:8">
      <c r="A7" s="13"/>
      <c r="B7" s="13"/>
      <c r="C7" s="14"/>
      <c r="D7" s="14"/>
      <c r="E7" s="5"/>
      <c r="F7" s="5"/>
      <c r="G7" s="5"/>
    </row>
    <row r="8" spans="1:8">
      <c r="A8" s="25" t="s">
        <v>45</v>
      </c>
      <c r="D8" s="18" t="s">
        <v>44</v>
      </c>
      <c r="E8" s="13"/>
      <c r="F8" s="13"/>
      <c r="G8" s="13"/>
      <c r="H8" s="13"/>
    </row>
    <row r="9" spans="1:8">
      <c r="A9" s="14"/>
      <c r="D9" s="32"/>
      <c r="E9" s="13"/>
      <c r="F9" s="13"/>
      <c r="G9" s="13"/>
      <c r="H9" s="13"/>
    </row>
    <row r="10" spans="1:8">
      <c r="A10" s="14"/>
      <c r="D10" s="32"/>
      <c r="E10" s="13"/>
      <c r="F10" s="13"/>
      <c r="G10" s="13"/>
      <c r="H10" s="13"/>
    </row>
    <row r="11" spans="1:8">
      <c r="A11" s="25" t="s">
        <v>46</v>
      </c>
      <c r="C11" s="17" t="s">
        <v>15</v>
      </c>
      <c r="D11" s="76">
        <f>'2.0 FINDINGS AND RECOMM'!J3</f>
        <v>1646</v>
      </c>
      <c r="E11" s="258" t="s">
        <v>93</v>
      </c>
      <c r="F11" s="258"/>
      <c r="G11" s="258"/>
      <c r="H11" s="258"/>
    </row>
    <row r="12" spans="1:8">
      <c r="A12" s="14"/>
      <c r="D12" s="32"/>
      <c r="E12" s="258"/>
      <c r="F12" s="258"/>
      <c r="G12" s="258"/>
      <c r="H12" s="258"/>
    </row>
    <row r="13" spans="1:8">
      <c r="A13" s="14"/>
      <c r="D13" s="32"/>
      <c r="E13" s="13"/>
      <c r="F13" s="13"/>
      <c r="G13" s="13"/>
      <c r="H13" s="13"/>
    </row>
    <row r="14" spans="1:8">
      <c r="A14" s="25" t="s">
        <v>47</v>
      </c>
      <c r="C14" s="17" t="s">
        <v>15</v>
      </c>
      <c r="D14" s="138" t="str">
        <f>'DATA ENTRY 2'!C19</f>
        <v>Circa 3-4 weeks</v>
      </c>
      <c r="E14" s="13"/>
      <c r="F14" s="13"/>
      <c r="G14" s="13"/>
      <c r="H14" s="13"/>
    </row>
    <row r="15" spans="1:8">
      <c r="A15" s="14"/>
      <c r="D15" s="32"/>
      <c r="E15" s="13"/>
      <c r="F15" s="13"/>
      <c r="G15" s="13"/>
      <c r="H15" s="13"/>
    </row>
    <row r="16" spans="1:8" ht="15.6" customHeight="1">
      <c r="A16" s="14"/>
      <c r="D16" s="32"/>
      <c r="E16" s="13"/>
      <c r="F16" s="13"/>
      <c r="G16" s="13"/>
      <c r="H16" s="13"/>
    </row>
    <row r="17" spans="1:8">
      <c r="A17" s="25" t="s">
        <v>48</v>
      </c>
      <c r="C17" s="17" t="s">
        <v>15</v>
      </c>
      <c r="D17" s="75" t="str">
        <f>'DATA ENTRY 2'!C20</f>
        <v>No</v>
      </c>
      <c r="E17" s="13"/>
      <c r="F17" s="13"/>
      <c r="G17" s="13"/>
      <c r="H17" s="13"/>
    </row>
    <row r="18" spans="1:8">
      <c r="A18" s="14"/>
      <c r="D18" s="32"/>
      <c r="E18" s="13"/>
      <c r="F18" s="13"/>
      <c r="G18" s="13"/>
      <c r="H18" s="13"/>
    </row>
    <row r="19" spans="1:8">
      <c r="A19" s="14"/>
      <c r="D19" s="32"/>
      <c r="E19" s="13"/>
      <c r="F19" s="13"/>
      <c r="G19" s="13"/>
      <c r="H19" s="13"/>
    </row>
    <row r="20" spans="1:8">
      <c r="A20" s="25" t="s">
        <v>49</v>
      </c>
      <c r="D20" s="18" t="s">
        <v>80</v>
      </c>
      <c r="E20" s="13"/>
      <c r="F20" s="13"/>
      <c r="G20" s="13"/>
      <c r="H20" s="13"/>
    </row>
    <row r="21" spans="1:8">
      <c r="A21" s="13"/>
      <c r="B21" s="13"/>
      <c r="C21" s="13"/>
      <c r="D21" s="13"/>
      <c r="E21" s="13"/>
      <c r="F21" s="13"/>
      <c r="G21" s="13"/>
      <c r="H21" s="13"/>
    </row>
    <row r="22" spans="1:8">
      <c r="A22" s="5"/>
      <c r="B22" s="5"/>
      <c r="C22" s="5"/>
      <c r="D22" s="5"/>
      <c r="E22" s="5"/>
    </row>
  </sheetData>
  <mergeCells count="2">
    <mergeCell ref="D5:H5"/>
    <mergeCell ref="E11:H12"/>
  </mergeCells>
  <pageMargins left="0.7" right="0.7" top="0.75" bottom="0.75" header="0.3" footer="0.3"/>
  <pageSetup orientation="portrait" r:id="rId1"/>
  <headerFooter>
    <oddFooter>&amp;C&amp;"Arial,Regular"&amp;8&amp;P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06F-8DB6-4DB7-A1CF-77FF593DCB40}">
  <sheetPr codeName="Sheet6"/>
  <dimension ref="A1:H80"/>
  <sheetViews>
    <sheetView tabSelected="1" view="pageBreakPreview" topLeftCell="A47" zoomScaleNormal="100" zoomScaleSheetLayoutView="100" workbookViewId="0">
      <selection activeCell="P17" sqref="P17"/>
    </sheetView>
  </sheetViews>
  <sheetFormatPr defaultColWidth="9.1796875" defaultRowHeight="15"/>
  <cols>
    <col min="1" max="1" width="3.1796875" style="2" customWidth="1"/>
    <col min="2" max="2" width="5.36328125" style="2" customWidth="1"/>
    <col min="3" max="3" width="1.81640625" style="2" customWidth="1"/>
    <col min="4" max="4" width="28.1796875" style="2" customWidth="1"/>
    <col min="5" max="5" width="10.6328125" style="2" customWidth="1"/>
    <col min="6" max="6" width="11.08984375" style="2" customWidth="1"/>
    <col min="7" max="7" width="6.6328125" style="2" customWidth="1"/>
    <col min="8" max="8" width="8.36328125" style="2" customWidth="1"/>
    <col min="9" max="16384" width="9.1796875" style="2"/>
  </cols>
  <sheetData>
    <row r="1" spans="1:8" ht="15.6" thickBot="1"/>
    <row r="2" spans="1:8" ht="15.6" thickTop="1">
      <c r="A2" s="21"/>
      <c r="B2" s="21"/>
      <c r="C2" s="21"/>
      <c r="D2" s="21"/>
      <c r="E2" s="21"/>
      <c r="F2" s="21"/>
      <c r="G2" s="21"/>
      <c r="H2" s="21"/>
    </row>
    <row r="3" spans="1:8" ht="22.8">
      <c r="A3" s="12" t="s">
        <v>50</v>
      </c>
      <c r="B3" s="12"/>
      <c r="C3" s="5"/>
      <c r="D3" s="5"/>
      <c r="E3" s="5"/>
      <c r="F3" s="5"/>
      <c r="G3" s="5"/>
      <c r="H3" s="5"/>
    </row>
    <row r="5" spans="1:8">
      <c r="A5" s="25" t="s">
        <v>334</v>
      </c>
      <c r="C5"/>
      <c r="D5" s="20"/>
      <c r="E5" s="20"/>
      <c r="F5" s="20"/>
      <c r="G5" s="20"/>
      <c r="H5" s="20"/>
    </row>
    <row r="6" spans="1:8">
      <c r="A6" s="26"/>
      <c r="B6" s="14"/>
      <c r="C6"/>
      <c r="D6" s="19"/>
      <c r="E6" s="19"/>
      <c r="F6" s="19"/>
      <c r="G6" s="19"/>
      <c r="H6" s="19"/>
    </row>
    <row r="7" spans="1:8">
      <c r="A7" s="13"/>
      <c r="B7" s="251" t="s">
        <v>51</v>
      </c>
      <c r="C7" s="251"/>
      <c r="D7" s="251"/>
      <c r="E7" s="251"/>
      <c r="F7" s="251"/>
      <c r="G7" s="251"/>
      <c r="H7" s="251"/>
    </row>
    <row r="8" spans="1:8">
      <c r="A8" s="13"/>
      <c r="B8" s="251"/>
      <c r="C8" s="251"/>
      <c r="D8" s="251"/>
      <c r="E8" s="251"/>
      <c r="F8" s="251"/>
      <c r="G8" s="251"/>
      <c r="H8" s="251"/>
    </row>
    <row r="9" spans="1:8">
      <c r="A9" s="13"/>
      <c r="B9" s="251"/>
      <c r="C9" s="251"/>
      <c r="D9" s="251"/>
      <c r="E9" s="251"/>
      <c r="F9" s="251"/>
      <c r="G9" s="251"/>
      <c r="H9" s="251"/>
    </row>
    <row r="10" spans="1:8">
      <c r="A10" s="13"/>
      <c r="B10" s="251"/>
      <c r="C10" s="251"/>
      <c r="D10" s="251"/>
      <c r="E10" s="251"/>
      <c r="F10" s="251"/>
      <c r="G10" s="251"/>
      <c r="H10" s="251"/>
    </row>
    <row r="11" spans="1:8">
      <c r="A11" s="25"/>
      <c r="B11" s="251" t="s">
        <v>52</v>
      </c>
      <c r="C11" s="251"/>
      <c r="D11" s="251"/>
      <c r="E11" s="251"/>
      <c r="F11" s="251"/>
      <c r="G11" s="251"/>
      <c r="H11" s="251"/>
    </row>
    <row r="12" spans="1:8">
      <c r="A12" s="25"/>
      <c r="B12" s="251"/>
      <c r="C12" s="251"/>
      <c r="D12" s="251"/>
      <c r="E12" s="251"/>
      <c r="F12" s="251"/>
      <c r="G12" s="251"/>
      <c r="H12" s="251"/>
    </row>
    <row r="13" spans="1:8" ht="15.6" customHeight="1">
      <c r="A13" s="14"/>
      <c r="B13" s="14" t="s">
        <v>53</v>
      </c>
      <c r="C13" s="14"/>
      <c r="D13" s="14"/>
      <c r="E13" s="14"/>
      <c r="F13" s="14"/>
      <c r="G13" s="14"/>
      <c r="H13" s="14"/>
    </row>
    <row r="14" spans="1:8">
      <c r="A14" s="14"/>
      <c r="B14" s="251" t="s">
        <v>54</v>
      </c>
      <c r="C14" s="251"/>
      <c r="D14" s="251"/>
      <c r="E14" s="251"/>
      <c r="F14" s="251"/>
      <c r="G14" s="251"/>
      <c r="H14" s="251"/>
    </row>
    <row r="15" spans="1:8">
      <c r="A15" s="14"/>
      <c r="B15" s="251"/>
      <c r="C15" s="251"/>
      <c r="D15" s="251"/>
      <c r="E15" s="251"/>
      <c r="F15" s="251"/>
      <c r="G15" s="251"/>
      <c r="H15" s="251"/>
    </row>
    <row r="16" spans="1:8">
      <c r="A16" s="25"/>
      <c r="B16" s="251" t="s">
        <v>55</v>
      </c>
      <c r="C16" s="251"/>
      <c r="D16" s="251"/>
      <c r="E16" s="251"/>
      <c r="F16" s="251"/>
      <c r="G16" s="251"/>
      <c r="H16" s="251"/>
    </row>
    <row r="17" spans="1:8">
      <c r="A17" s="25"/>
      <c r="B17" s="251"/>
      <c r="C17" s="251"/>
      <c r="D17" s="251"/>
      <c r="E17" s="251"/>
      <c r="F17" s="251"/>
      <c r="G17" s="251"/>
      <c r="H17" s="251"/>
    </row>
    <row r="18" spans="1:8">
      <c r="A18" s="14"/>
      <c r="B18" s="260" t="s">
        <v>56</v>
      </c>
      <c r="C18" s="260"/>
      <c r="D18" s="260"/>
      <c r="E18" s="260"/>
      <c r="F18" s="260"/>
      <c r="G18" s="260"/>
      <c r="H18" s="260"/>
    </row>
    <row r="19" spans="1:8">
      <c r="A19" s="14"/>
      <c r="B19" s="251" t="s">
        <v>57</v>
      </c>
      <c r="C19" s="251"/>
      <c r="D19" s="251"/>
      <c r="E19" s="251"/>
      <c r="F19" s="251"/>
      <c r="G19" s="251"/>
      <c r="H19" s="251"/>
    </row>
    <row r="20" spans="1:8">
      <c r="A20" s="14"/>
      <c r="B20" s="251"/>
      <c r="C20" s="251"/>
      <c r="D20" s="251"/>
      <c r="E20" s="251"/>
      <c r="F20" s="251"/>
      <c r="G20" s="251"/>
      <c r="H20" s="251"/>
    </row>
    <row r="21" spans="1:8">
      <c r="A21" s="25"/>
      <c r="B21" s="251" t="s">
        <v>58</v>
      </c>
      <c r="C21" s="251"/>
      <c r="D21" s="251"/>
      <c r="E21" s="251"/>
      <c r="F21" s="251"/>
      <c r="G21" s="251"/>
      <c r="H21" s="251"/>
    </row>
    <row r="22" spans="1:8">
      <c r="A22" s="25"/>
      <c r="B22" s="251"/>
      <c r="C22" s="251"/>
      <c r="D22" s="251"/>
      <c r="E22" s="251"/>
      <c r="F22" s="251"/>
      <c r="G22" s="251"/>
      <c r="H22" s="251"/>
    </row>
    <row r="23" spans="1:8">
      <c r="A23" s="25"/>
      <c r="B23" s="251"/>
      <c r="C23" s="251"/>
      <c r="D23" s="251"/>
      <c r="E23" s="251"/>
      <c r="F23" s="251"/>
      <c r="G23" s="251"/>
      <c r="H23" s="251"/>
    </row>
    <row r="24" spans="1:8" ht="15.6" customHeight="1">
      <c r="A24" s="14"/>
      <c r="B24" s="251" t="s">
        <v>59</v>
      </c>
      <c r="C24" s="251"/>
      <c r="D24" s="251"/>
      <c r="E24" s="251"/>
      <c r="F24" s="251"/>
      <c r="G24" s="251"/>
      <c r="H24" s="251"/>
    </row>
    <row r="25" spans="1:8">
      <c r="A25" s="14"/>
      <c r="B25" s="251"/>
      <c r="C25" s="251"/>
      <c r="D25" s="251"/>
      <c r="E25" s="251"/>
      <c r="F25" s="251"/>
      <c r="G25" s="251"/>
      <c r="H25" s="251"/>
    </row>
    <row r="26" spans="1:8" ht="15.6" customHeight="1">
      <c r="A26" s="14"/>
      <c r="B26" s="251" t="s">
        <v>60</v>
      </c>
      <c r="C26" s="251"/>
      <c r="D26" s="251"/>
      <c r="E26" s="251"/>
      <c r="F26" s="251"/>
      <c r="G26" s="251"/>
      <c r="H26" s="251"/>
    </row>
    <row r="27" spans="1:8" ht="15.6" customHeight="1">
      <c r="A27" s="14"/>
      <c r="B27" s="251"/>
      <c r="C27" s="251"/>
      <c r="D27" s="251"/>
      <c r="E27" s="251"/>
      <c r="F27" s="251"/>
      <c r="G27" s="251"/>
      <c r="H27" s="251"/>
    </row>
    <row r="28" spans="1:8" ht="15.6" customHeight="1">
      <c r="A28" s="25"/>
      <c r="B28" s="251" t="s">
        <v>61</v>
      </c>
      <c r="C28" s="251"/>
      <c r="D28" s="251"/>
      <c r="E28" s="251"/>
      <c r="F28" s="251"/>
      <c r="G28" s="251"/>
      <c r="H28" s="251"/>
    </row>
    <row r="29" spans="1:8" ht="15.6" customHeight="1">
      <c r="A29" s="14"/>
      <c r="C29" s="251" t="s">
        <v>71</v>
      </c>
      <c r="D29" s="251"/>
      <c r="E29" s="251"/>
      <c r="F29" s="251"/>
      <c r="G29" s="251"/>
      <c r="H29" s="251"/>
    </row>
    <row r="30" spans="1:8">
      <c r="A30" s="14"/>
      <c r="C30" s="251"/>
      <c r="D30" s="251"/>
      <c r="E30" s="251"/>
      <c r="F30" s="251"/>
      <c r="G30" s="251"/>
      <c r="H30" s="251"/>
    </row>
    <row r="31" spans="1:8">
      <c r="A31" s="14"/>
      <c r="C31" s="251"/>
      <c r="D31" s="251"/>
      <c r="E31" s="251"/>
      <c r="F31" s="251"/>
      <c r="G31" s="251"/>
      <c r="H31" s="251"/>
    </row>
    <row r="32" spans="1:8" ht="15.6" customHeight="1">
      <c r="A32" s="14"/>
      <c r="C32" s="251" t="s">
        <v>62</v>
      </c>
      <c r="D32" s="251"/>
      <c r="E32" s="251"/>
      <c r="F32" s="251"/>
      <c r="G32" s="251"/>
      <c r="H32" s="251"/>
    </row>
    <row r="33" spans="1:8">
      <c r="A33" s="14"/>
      <c r="C33" s="251"/>
      <c r="D33" s="251"/>
      <c r="E33" s="251"/>
      <c r="F33" s="251"/>
      <c r="G33" s="251"/>
      <c r="H33" s="251"/>
    </row>
    <row r="34" spans="1:8">
      <c r="A34" s="14"/>
      <c r="C34" s="251"/>
      <c r="D34" s="251"/>
      <c r="E34" s="251"/>
      <c r="F34" s="251"/>
      <c r="G34" s="251"/>
      <c r="H34" s="251"/>
    </row>
    <row r="35" spans="1:8">
      <c r="A35" s="14"/>
      <c r="C35" s="251"/>
      <c r="D35" s="251"/>
      <c r="E35" s="251"/>
      <c r="F35" s="251"/>
      <c r="G35" s="251"/>
      <c r="H35" s="251"/>
    </row>
    <row r="36" spans="1:8" ht="15.6" customHeight="1">
      <c r="A36" s="25"/>
      <c r="C36" s="251" t="s">
        <v>70</v>
      </c>
      <c r="D36" s="251"/>
      <c r="E36" s="251"/>
      <c r="F36" s="251"/>
      <c r="G36" s="251"/>
      <c r="H36" s="251"/>
    </row>
    <row r="37" spans="1:8">
      <c r="A37" s="13"/>
      <c r="C37" s="251"/>
      <c r="D37" s="251"/>
      <c r="E37" s="251"/>
      <c r="F37" s="251"/>
      <c r="G37" s="251"/>
      <c r="H37" s="251"/>
    </row>
    <row r="38" spans="1:8">
      <c r="A38" s="5"/>
      <c r="C38" s="251"/>
      <c r="D38" s="251"/>
      <c r="E38" s="251"/>
      <c r="F38" s="251"/>
      <c r="G38" s="251"/>
      <c r="H38" s="251"/>
    </row>
    <row r="39" spans="1:8" ht="15.6" customHeight="1">
      <c r="C39" s="251" t="s">
        <v>63</v>
      </c>
      <c r="D39" s="251"/>
      <c r="E39" s="251"/>
      <c r="F39" s="251"/>
      <c r="G39" s="251"/>
      <c r="H39" s="251"/>
    </row>
    <row r="40" spans="1:8" ht="15.6" customHeight="1">
      <c r="C40" s="251"/>
      <c r="D40" s="251"/>
      <c r="E40" s="251"/>
      <c r="F40" s="251"/>
      <c r="G40" s="251"/>
      <c r="H40" s="251"/>
    </row>
    <row r="41" spans="1:8" ht="15.6" customHeight="1">
      <c r="C41" s="251" t="s">
        <v>64</v>
      </c>
      <c r="D41" s="251"/>
      <c r="E41" s="251"/>
      <c r="F41" s="251"/>
      <c r="G41" s="251"/>
      <c r="H41" s="251"/>
    </row>
    <row r="42" spans="1:8">
      <c r="B42" s="8"/>
      <c r="C42" s="251"/>
      <c r="D42" s="251"/>
      <c r="E42" s="251"/>
      <c r="F42" s="251"/>
      <c r="G42" s="251"/>
      <c r="H42" s="251"/>
    </row>
    <row r="43" spans="1:8">
      <c r="B43" s="23"/>
      <c r="C43" s="251"/>
      <c r="D43" s="251"/>
      <c r="E43" s="251"/>
      <c r="F43" s="251"/>
      <c r="G43" s="251"/>
      <c r="H43" s="251"/>
    </row>
    <row r="44" spans="1:8">
      <c r="B44" s="251" t="s">
        <v>65</v>
      </c>
      <c r="C44" s="251"/>
      <c r="D44" s="251"/>
      <c r="E44" s="251"/>
      <c r="F44" s="251"/>
      <c r="G44" s="251"/>
      <c r="H44" s="251"/>
    </row>
    <row r="45" spans="1:8">
      <c r="B45" s="251"/>
      <c r="C45" s="251"/>
      <c r="D45" s="251"/>
      <c r="E45" s="251"/>
      <c r="F45" s="251"/>
      <c r="G45" s="251"/>
      <c r="H45" s="251"/>
    </row>
    <row r="46" spans="1:8">
      <c r="B46" s="251"/>
      <c r="C46" s="251"/>
      <c r="D46" s="251"/>
      <c r="E46" s="251"/>
      <c r="F46" s="251"/>
      <c r="G46" s="251"/>
      <c r="H46" s="251"/>
    </row>
    <row r="47" spans="1:8">
      <c r="B47" s="251" t="s">
        <v>66</v>
      </c>
      <c r="C47" s="251"/>
      <c r="D47" s="251"/>
      <c r="E47" s="251"/>
      <c r="F47" s="251"/>
      <c r="G47" s="251"/>
      <c r="H47" s="251"/>
    </row>
    <row r="48" spans="1:8">
      <c r="B48" s="251"/>
      <c r="C48" s="251"/>
      <c r="D48" s="251"/>
      <c r="E48" s="251"/>
      <c r="F48" s="251"/>
      <c r="G48" s="251"/>
      <c r="H48" s="251"/>
    </row>
    <row r="49" spans="1:8">
      <c r="B49" s="251"/>
      <c r="C49" s="251"/>
      <c r="D49" s="251"/>
      <c r="E49" s="251"/>
      <c r="F49" s="251"/>
      <c r="G49" s="251"/>
      <c r="H49" s="251"/>
    </row>
    <row r="50" spans="1:8">
      <c r="B50" s="23"/>
      <c r="C50"/>
    </row>
    <row r="51" spans="1:8">
      <c r="B51" s="14"/>
      <c r="C51"/>
    </row>
    <row r="52" spans="1:8">
      <c r="A52" s="25" t="s">
        <v>69</v>
      </c>
      <c r="C52"/>
      <c r="D52" s="5"/>
      <c r="E52" s="5"/>
      <c r="F52" s="5"/>
      <c r="G52" s="5"/>
      <c r="H52" s="5"/>
    </row>
    <row r="53" spans="1:8">
      <c r="A53" s="5"/>
      <c r="B53" s="13"/>
      <c r="C53"/>
      <c r="D53" s="5"/>
      <c r="E53" s="5"/>
      <c r="F53" s="5"/>
      <c r="G53" s="5"/>
      <c r="H53" s="5"/>
    </row>
    <row r="54" spans="1:8" ht="15.6" customHeight="1">
      <c r="A54" s="5"/>
      <c r="B54" s="251" t="s">
        <v>67</v>
      </c>
      <c r="C54" s="251"/>
      <c r="D54" s="251"/>
      <c r="E54" s="251"/>
      <c r="F54" s="251"/>
      <c r="G54" s="251"/>
      <c r="H54" s="251"/>
    </row>
    <row r="55" spans="1:8">
      <c r="A55" s="5"/>
      <c r="B55" s="251"/>
      <c r="C55" s="251"/>
      <c r="D55" s="251"/>
      <c r="E55" s="251"/>
      <c r="F55" s="251"/>
      <c r="G55" s="251"/>
      <c r="H55" s="251"/>
    </row>
    <row r="56" spans="1:8">
      <c r="A56" s="5"/>
      <c r="B56" s="251"/>
      <c r="C56" s="251"/>
      <c r="D56" s="251"/>
      <c r="E56" s="251"/>
      <c r="F56" s="251"/>
      <c r="G56" s="251"/>
      <c r="H56" s="251"/>
    </row>
    <row r="57" spans="1:8">
      <c r="A57" s="5"/>
      <c r="B57" s="251"/>
      <c r="C57" s="251"/>
      <c r="D57" s="251"/>
      <c r="E57" s="251"/>
      <c r="F57" s="251"/>
      <c r="G57" s="251"/>
      <c r="H57" s="251"/>
    </row>
    <row r="58" spans="1:8">
      <c r="A58" s="5"/>
      <c r="B58" s="16"/>
      <c r="C58" s="16"/>
      <c r="D58" s="16"/>
      <c r="E58" s="16"/>
      <c r="F58" s="16"/>
      <c r="G58" s="16"/>
      <c r="H58" s="16"/>
    </row>
    <row r="59" spans="1:8">
      <c r="A59" s="5"/>
      <c r="B59" s="251" t="s">
        <v>68</v>
      </c>
      <c r="C59" s="251"/>
      <c r="D59" s="251"/>
      <c r="E59" s="251"/>
      <c r="F59" s="251"/>
      <c r="G59" s="251"/>
      <c r="H59" s="251"/>
    </row>
    <row r="60" spans="1:8">
      <c r="A60" s="5"/>
      <c r="B60" s="251"/>
      <c r="C60" s="251"/>
      <c r="D60" s="251"/>
      <c r="E60" s="251"/>
      <c r="F60" s="251"/>
      <c r="G60" s="251"/>
      <c r="H60" s="251"/>
    </row>
    <row r="61" spans="1:8">
      <c r="A61" s="5"/>
      <c r="B61" s="251"/>
      <c r="C61" s="251"/>
      <c r="D61" s="251"/>
      <c r="E61" s="251"/>
      <c r="F61" s="251"/>
      <c r="G61" s="251"/>
      <c r="H61" s="251"/>
    </row>
    <row r="62" spans="1:8">
      <c r="A62" s="5"/>
      <c r="B62" s="23"/>
      <c r="C62"/>
      <c r="D62" s="5"/>
      <c r="E62" s="5"/>
      <c r="F62" s="5"/>
      <c r="G62" s="5"/>
      <c r="H62" s="5"/>
    </row>
    <row r="63" spans="1:8">
      <c r="A63" s="5"/>
      <c r="B63" s="259" t="s">
        <v>92</v>
      </c>
      <c r="C63" s="260"/>
      <c r="D63" s="260"/>
      <c r="E63" s="5"/>
      <c r="F63" s="5"/>
      <c r="G63" s="5"/>
      <c r="H63" s="5"/>
    </row>
    <row r="64" spans="1:8">
      <c r="A64" s="5"/>
      <c r="B64" s="33"/>
      <c r="C64"/>
      <c r="D64" s="5"/>
      <c r="E64" s="5"/>
      <c r="F64" s="5"/>
      <c r="G64" s="5"/>
      <c r="H64" s="5"/>
    </row>
    <row r="65" spans="1:8">
      <c r="A65" s="5"/>
      <c r="B65" s="33"/>
      <c r="C65"/>
      <c r="D65" s="5"/>
      <c r="E65" s="5"/>
      <c r="F65" s="5"/>
      <c r="G65" s="5"/>
      <c r="H65" s="5"/>
    </row>
    <row r="66" spans="1:8">
      <c r="A66" s="5"/>
      <c r="B66" s="33"/>
      <c r="C66"/>
      <c r="D66" s="5"/>
      <c r="E66" s="5"/>
      <c r="F66" s="5"/>
      <c r="G66" s="5"/>
      <c r="H66" s="5"/>
    </row>
    <row r="67" spans="1:8">
      <c r="A67" s="5"/>
      <c r="B67" s="33"/>
      <c r="C67"/>
      <c r="D67" s="5"/>
      <c r="E67" s="5"/>
      <c r="F67" s="5"/>
      <c r="G67" s="5"/>
      <c r="H67" s="5"/>
    </row>
    <row r="68" spans="1:8">
      <c r="A68" s="5"/>
      <c r="B68" s="33"/>
      <c r="C68"/>
      <c r="D68" s="5"/>
      <c r="E68" s="5"/>
      <c r="F68" s="5"/>
      <c r="G68" s="5"/>
      <c r="H68" s="5"/>
    </row>
    <row r="69" spans="1:8">
      <c r="A69" s="5"/>
      <c r="B69" s="174" t="s">
        <v>335</v>
      </c>
      <c r="C69"/>
      <c r="D69" s="5"/>
      <c r="E69" s="5"/>
      <c r="F69" s="5"/>
      <c r="G69" s="5"/>
      <c r="H69" s="5"/>
    </row>
    <row r="70" spans="1:8">
      <c r="A70" s="5"/>
      <c r="B70" s="33"/>
      <c r="C70"/>
      <c r="D70" s="5"/>
      <c r="E70" s="5"/>
      <c r="F70" s="5"/>
      <c r="G70" s="5"/>
      <c r="H70" s="5"/>
    </row>
    <row r="71" spans="1:8">
      <c r="A71" s="5"/>
      <c r="B71" s="14" t="s">
        <v>72</v>
      </c>
      <c r="C71"/>
      <c r="D71" s="34">
        <f>Cover!C36</f>
        <v>46272</v>
      </c>
      <c r="E71" s="5"/>
      <c r="F71" s="5"/>
      <c r="G71" s="5"/>
      <c r="H71" s="5"/>
    </row>
    <row r="72" spans="1:8">
      <c r="A72" s="5"/>
      <c r="B72" s="33"/>
      <c r="C72"/>
      <c r="D72" s="5"/>
      <c r="E72" s="5"/>
      <c r="F72" s="5"/>
      <c r="G72" s="5"/>
      <c r="H72" s="5"/>
    </row>
    <row r="73" spans="1:8">
      <c r="A73" s="5"/>
      <c r="B73" s="28"/>
      <c r="C73"/>
      <c r="D73" s="5"/>
      <c r="E73" s="5"/>
      <c r="F73" s="5"/>
      <c r="G73" s="5"/>
      <c r="H73" s="5"/>
    </row>
    <row r="74" spans="1:8">
      <c r="A74" s="5"/>
      <c r="B74" s="28"/>
      <c r="C74" s="28"/>
      <c r="E74" s="5"/>
      <c r="F74" s="5"/>
      <c r="G74" s="5"/>
      <c r="H74" s="5"/>
    </row>
    <row r="75" spans="1:8">
      <c r="A75" s="5"/>
      <c r="B75" s="5"/>
      <c r="C75" s="5"/>
      <c r="D75" s="5"/>
      <c r="E75" s="5"/>
      <c r="F75" s="5"/>
      <c r="G75" s="5"/>
      <c r="H75" s="5"/>
    </row>
    <row r="76" spans="1:8">
      <c r="A76" s="5"/>
      <c r="B76" s="5"/>
      <c r="C76" s="5"/>
      <c r="D76" s="5"/>
      <c r="E76" s="5"/>
      <c r="F76" s="5"/>
      <c r="G76" s="5"/>
      <c r="H76" s="5"/>
    </row>
    <row r="77" spans="1:8">
      <c r="A77" s="5"/>
      <c r="B77" s="5"/>
      <c r="C77" s="5"/>
      <c r="D77" s="5"/>
      <c r="E77" s="5"/>
      <c r="F77" s="5"/>
      <c r="G77" s="5"/>
      <c r="H77" s="5"/>
    </row>
    <row r="78" spans="1:8">
      <c r="A78" s="5"/>
      <c r="B78" s="5"/>
      <c r="C78" s="5"/>
      <c r="D78" s="5"/>
      <c r="E78" s="5"/>
      <c r="F78" s="5"/>
      <c r="G78" s="5"/>
      <c r="H78" s="5"/>
    </row>
    <row r="79" spans="1:8">
      <c r="A79" s="5"/>
      <c r="B79" s="5"/>
      <c r="C79" s="5"/>
      <c r="D79" s="5"/>
      <c r="E79" s="5"/>
      <c r="F79" s="5"/>
      <c r="G79" s="5"/>
      <c r="H79" s="5"/>
    </row>
    <row r="80" spans="1:8">
      <c r="A80" s="5"/>
      <c r="B80" s="5"/>
      <c r="C80" s="5"/>
      <c r="D80" s="5"/>
      <c r="E80" s="5"/>
      <c r="F80" s="5"/>
      <c r="G80" s="5"/>
      <c r="H80" s="5"/>
    </row>
  </sheetData>
  <mergeCells count="20">
    <mergeCell ref="B7:H10"/>
    <mergeCell ref="B11:H12"/>
    <mergeCell ref="B26:H27"/>
    <mergeCell ref="B28:H28"/>
    <mergeCell ref="B14:H15"/>
    <mergeCell ref="B16:H17"/>
    <mergeCell ref="B18:H18"/>
    <mergeCell ref="B19:H20"/>
    <mergeCell ref="B21:H23"/>
    <mergeCell ref="B24:H25"/>
    <mergeCell ref="B59:H61"/>
    <mergeCell ref="B63:D63"/>
    <mergeCell ref="C29:H31"/>
    <mergeCell ref="C32:H35"/>
    <mergeCell ref="C36:H38"/>
    <mergeCell ref="C39:H40"/>
    <mergeCell ref="C41:H43"/>
    <mergeCell ref="B44:H46"/>
    <mergeCell ref="B47:H49"/>
    <mergeCell ref="B54:H57"/>
  </mergeCells>
  <pageMargins left="0.7" right="0.7" top="0.75" bottom="0.75" header="0.3" footer="0.3"/>
  <pageSetup orientation="portrait" r:id="rId1"/>
  <headerFooter>
    <oddFooter>&amp;C&amp;"Arial,Regular"&amp;8&amp;P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418DA-B813-4EFA-B917-E9C0A184E6C1}">
  <sheetPr codeName="Sheet12"/>
  <dimension ref="A1:H30"/>
  <sheetViews>
    <sheetView workbookViewId="0">
      <selection activeCell="B11" sqref="B11"/>
    </sheetView>
  </sheetViews>
  <sheetFormatPr defaultColWidth="9.1796875" defaultRowHeight="15"/>
  <cols>
    <col min="1" max="1" width="14.81640625" style="29" customWidth="1"/>
    <col min="2" max="2" width="34.81640625" style="29" customWidth="1"/>
    <col min="3" max="3" width="9.1796875" style="29"/>
    <col min="4" max="4" width="19.08984375" style="29" bestFit="1" customWidth="1"/>
    <col min="5" max="5" width="10.1796875" style="39" customWidth="1"/>
    <col min="6" max="6" width="9.90625" style="29" customWidth="1"/>
    <col min="7" max="7" width="14.1796875" style="29" customWidth="1"/>
    <col min="8" max="16384" width="9.1796875" style="2"/>
  </cols>
  <sheetData>
    <row r="1" spans="1:8">
      <c r="H1" s="37"/>
    </row>
    <row r="2" spans="1:8">
      <c r="A2" s="87" t="str">
        <f>'DATA ENTRY 2'!$C$5</f>
        <v>Miss REDACTED (Claimant)</v>
      </c>
      <c r="B2" s="87"/>
      <c r="C2" s="87"/>
      <c r="D2" s="87"/>
      <c r="E2" s="88"/>
      <c r="F2" s="87"/>
      <c r="G2" s="87"/>
      <c r="H2" s="37"/>
    </row>
    <row r="3" spans="1:8">
      <c r="A3" s="87" t="s">
        <v>123</v>
      </c>
      <c r="B3" s="87"/>
      <c r="C3" s="87"/>
      <c r="D3" s="87"/>
      <c r="E3" s="88"/>
      <c r="F3" s="87"/>
      <c r="G3" s="87"/>
      <c r="H3" s="37"/>
    </row>
    <row r="4" spans="1:8" ht="15.6" thickBot="1">
      <c r="H4" s="37"/>
    </row>
    <row r="5" spans="1:8" s="36" customFormat="1" ht="16.5" customHeight="1" thickBot="1">
      <c r="A5" s="47" t="s">
        <v>74</v>
      </c>
      <c r="B5" s="48" t="s">
        <v>75</v>
      </c>
      <c r="C5" s="48" t="s">
        <v>76</v>
      </c>
      <c r="D5" s="48" t="s">
        <v>77</v>
      </c>
      <c r="E5" s="49" t="s">
        <v>78</v>
      </c>
      <c r="F5" s="48" t="s">
        <v>146</v>
      </c>
      <c r="G5" s="50" t="s">
        <v>147</v>
      </c>
    </row>
    <row r="6" spans="1:8" s="35" customFormat="1" ht="13.8" thickBot="1">
      <c r="A6" s="261"/>
      <c r="B6" s="262"/>
      <c r="C6" s="262"/>
      <c r="D6" s="262"/>
      <c r="E6" s="262"/>
      <c r="F6" s="262"/>
      <c r="G6" s="263"/>
    </row>
    <row r="7" spans="1:8" s="35" customFormat="1" ht="13.2">
      <c r="A7" s="56"/>
      <c r="B7" s="57"/>
      <c r="C7" s="63"/>
      <c r="D7" s="57"/>
      <c r="E7" s="52"/>
      <c r="F7" s="51"/>
      <c r="G7" s="53"/>
    </row>
    <row r="8" spans="1:8" s="35" customFormat="1" ht="13.2">
      <c r="A8" s="58"/>
      <c r="B8" s="59"/>
      <c r="C8" s="62"/>
      <c r="D8" s="59"/>
      <c r="E8" s="41"/>
      <c r="F8" s="40"/>
      <c r="G8" s="54"/>
    </row>
    <row r="9" spans="1:8" s="35" customFormat="1" ht="13.2">
      <c r="A9" s="58"/>
      <c r="B9" s="59"/>
      <c r="C9" s="62"/>
      <c r="D9" s="59"/>
      <c r="E9" s="41"/>
      <c r="F9" s="40"/>
      <c r="G9" s="54"/>
    </row>
    <row r="10" spans="1:8" s="35" customFormat="1" ht="13.2">
      <c r="A10" s="58"/>
      <c r="B10" s="59"/>
      <c r="C10" s="62"/>
      <c r="D10" s="59"/>
      <c r="E10" s="41"/>
      <c r="F10" s="40"/>
      <c r="G10" s="54"/>
    </row>
    <row r="11" spans="1:8" s="35" customFormat="1" ht="13.2">
      <c r="A11" s="58"/>
      <c r="B11" s="59"/>
      <c r="C11" s="62"/>
      <c r="D11" s="59"/>
      <c r="E11" s="41"/>
      <c r="F11" s="40"/>
      <c r="G11" s="54"/>
    </row>
    <row r="12" spans="1:8" s="35" customFormat="1" ht="13.2">
      <c r="A12" s="58"/>
      <c r="B12" s="59"/>
      <c r="C12" s="62"/>
      <c r="D12" s="59"/>
      <c r="E12" s="41"/>
      <c r="F12" s="40"/>
      <c r="G12" s="54"/>
    </row>
    <row r="13" spans="1:8" s="35" customFormat="1" ht="13.2">
      <c r="A13" s="58"/>
      <c r="B13" s="59"/>
      <c r="C13" s="62"/>
      <c r="D13" s="59"/>
      <c r="E13" s="41"/>
      <c r="F13" s="40"/>
      <c r="G13" s="54"/>
    </row>
    <row r="14" spans="1:8" s="35" customFormat="1" ht="13.2">
      <c r="A14" s="58"/>
      <c r="B14" s="59"/>
      <c r="C14" s="62"/>
      <c r="D14" s="59"/>
      <c r="E14" s="41"/>
      <c r="F14" s="40"/>
      <c r="G14" s="54"/>
    </row>
    <row r="15" spans="1:8" s="35" customFormat="1" ht="13.2">
      <c r="A15" s="58"/>
      <c r="B15" s="59"/>
      <c r="C15" s="62"/>
      <c r="D15" s="59"/>
      <c r="E15" s="41"/>
      <c r="F15" s="40"/>
      <c r="G15" s="54"/>
    </row>
    <row r="16" spans="1:8" s="35" customFormat="1" ht="13.2">
      <c r="A16" s="58"/>
      <c r="B16" s="59"/>
      <c r="C16" s="62"/>
      <c r="D16" s="59"/>
      <c r="E16" s="41"/>
      <c r="F16" s="40"/>
      <c r="G16" s="54"/>
    </row>
    <row r="17" spans="1:7" s="35" customFormat="1" ht="13.2">
      <c r="A17" s="58"/>
      <c r="B17" s="59"/>
      <c r="C17" s="62"/>
      <c r="D17" s="59"/>
      <c r="E17" s="41"/>
      <c r="F17" s="40"/>
      <c r="G17" s="54"/>
    </row>
    <row r="18" spans="1:7" s="35" customFormat="1" ht="13.2">
      <c r="A18" s="58"/>
      <c r="B18" s="59"/>
      <c r="C18" s="62"/>
      <c r="D18" s="59"/>
      <c r="E18" s="41"/>
      <c r="F18" s="40"/>
      <c r="G18" s="54"/>
    </row>
    <row r="19" spans="1:7" s="35" customFormat="1" ht="13.2">
      <c r="A19" s="58"/>
      <c r="B19" s="59"/>
      <c r="C19" s="62"/>
      <c r="D19" s="59"/>
      <c r="E19" s="41"/>
      <c r="F19" s="40"/>
      <c r="G19" s="54"/>
    </row>
    <row r="20" spans="1:7" s="35" customFormat="1" ht="13.2">
      <c r="A20" s="58"/>
      <c r="B20" s="59"/>
      <c r="C20" s="62"/>
      <c r="D20" s="59"/>
      <c r="E20" s="41"/>
      <c r="F20" s="40"/>
      <c r="G20" s="54"/>
    </row>
    <row r="21" spans="1:7" s="35" customFormat="1" ht="13.2">
      <c r="A21" s="58"/>
      <c r="B21" s="59"/>
      <c r="C21" s="62"/>
      <c r="D21" s="59"/>
      <c r="E21" s="41"/>
      <c r="F21" s="40"/>
      <c r="G21" s="54"/>
    </row>
    <row r="22" spans="1:7" s="35" customFormat="1" ht="13.2">
      <c r="A22" s="58"/>
      <c r="B22" s="59"/>
      <c r="C22" s="62"/>
      <c r="D22" s="59"/>
      <c r="E22" s="41"/>
      <c r="F22" s="40"/>
      <c r="G22" s="54"/>
    </row>
    <row r="23" spans="1:7" s="35" customFormat="1" ht="13.2">
      <c r="A23" s="58"/>
      <c r="B23" s="59"/>
      <c r="C23" s="62"/>
      <c r="D23" s="59"/>
      <c r="E23" s="41"/>
      <c r="F23" s="40"/>
      <c r="G23" s="54"/>
    </row>
    <row r="24" spans="1:7" s="35" customFormat="1" ht="13.2">
      <c r="A24" s="58"/>
      <c r="B24" s="59"/>
      <c r="C24" s="62"/>
      <c r="D24" s="59"/>
      <c r="E24" s="41"/>
      <c r="F24" s="40"/>
      <c r="G24" s="54"/>
    </row>
    <row r="25" spans="1:7" s="35" customFormat="1" ht="13.2">
      <c r="A25" s="58"/>
      <c r="B25" s="59"/>
      <c r="C25" s="62"/>
      <c r="D25" s="59"/>
      <c r="E25" s="41"/>
      <c r="F25" s="40"/>
      <c r="G25" s="54"/>
    </row>
    <row r="26" spans="1:7" s="35" customFormat="1" ht="13.2">
      <c r="A26" s="58"/>
      <c r="B26" s="59"/>
      <c r="C26" s="62"/>
      <c r="D26" s="59"/>
      <c r="E26" s="41"/>
      <c r="F26" s="40"/>
      <c r="G26" s="54"/>
    </row>
    <row r="27" spans="1:7" s="35" customFormat="1" ht="13.2">
      <c r="A27" s="58"/>
      <c r="B27" s="59"/>
      <c r="C27" s="62"/>
      <c r="D27" s="59"/>
      <c r="E27" s="41"/>
      <c r="F27" s="40"/>
      <c r="G27" s="54"/>
    </row>
    <row r="28" spans="1:7" s="35" customFormat="1" ht="13.2">
      <c r="A28" s="58"/>
      <c r="B28" s="59"/>
      <c r="C28" s="62"/>
      <c r="D28" s="59"/>
      <c r="E28" s="41"/>
      <c r="F28" s="40"/>
      <c r="G28" s="54"/>
    </row>
    <row r="29" spans="1:7" s="35" customFormat="1" ht="13.2">
      <c r="A29" s="58"/>
      <c r="B29" s="59"/>
      <c r="C29" s="62"/>
      <c r="D29" s="59"/>
      <c r="E29" s="41"/>
      <c r="F29" s="40"/>
      <c r="G29" s="54"/>
    </row>
    <row r="30" spans="1:7" s="35" customFormat="1" ht="13.8" thickBot="1">
      <c r="A30" s="60"/>
      <c r="B30" s="61"/>
      <c r="C30" s="64"/>
      <c r="D30" s="61"/>
      <c r="E30" s="65"/>
      <c r="F30" s="55"/>
      <c r="G30" s="66"/>
    </row>
  </sheetData>
  <mergeCells count="1">
    <mergeCell ref="A6:G6"/>
  </mergeCells>
  <pageMargins left="0.23622047244094491" right="0.23622047244094491" top="0.74803149606299213" bottom="0.74803149606299213" header="0.31496062992125984" footer="0.31496062992125984"/>
  <pageSetup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1760B-2726-46AC-9BEA-AF6691B3D8F9}">
  <sheetPr codeName="Sheet7">
    <pageSetUpPr fitToPage="1"/>
  </sheetPr>
  <dimension ref="A1:XFD29"/>
  <sheetViews>
    <sheetView tabSelected="1" topLeftCell="A15" zoomScaleNormal="100" zoomScaleSheetLayoutView="70" workbookViewId="0">
      <selection activeCell="P17" sqref="P17"/>
    </sheetView>
  </sheetViews>
  <sheetFormatPr defaultColWidth="9.1796875" defaultRowHeight="15"/>
  <cols>
    <col min="1" max="1" width="11.81640625" style="29" customWidth="1"/>
    <col min="2" max="2" width="62.08984375" style="29" customWidth="1"/>
    <col min="3" max="3" width="10.90625" style="29" customWidth="1"/>
    <col min="4" max="4" width="38.54296875" style="29" customWidth="1"/>
    <col min="5" max="5" width="11.81640625" style="39" customWidth="1"/>
    <col min="6" max="6" width="16.453125" style="29" customWidth="1"/>
    <col min="7" max="7" width="13" style="29" customWidth="1"/>
    <col min="8" max="16383" width="9.1796875" style="2"/>
    <col min="16384" max="16384" width="9.08984375" style="2" customWidth="1"/>
  </cols>
  <sheetData>
    <row r="1" spans="1:7 16384:16384" ht="15.6" thickBot="1">
      <c r="A1" s="2"/>
      <c r="B1" s="2"/>
      <c r="C1" s="2"/>
      <c r="D1" s="2"/>
      <c r="E1" s="2"/>
      <c r="F1" s="2"/>
      <c r="G1" s="2"/>
    </row>
    <row r="2" spans="1:7 16384:16384" ht="15.6" thickTop="1">
      <c r="A2" s="21"/>
      <c r="B2" s="21"/>
      <c r="C2" s="21"/>
      <c r="D2" s="21"/>
      <c r="E2" s="21"/>
      <c r="F2" s="21"/>
      <c r="G2" s="21"/>
    </row>
    <row r="3" spans="1:7 16384:16384" ht="22.8">
      <c r="A3" s="38" t="s">
        <v>73</v>
      </c>
    </row>
    <row r="5" spans="1:7 16384:16384">
      <c r="A5" s="87" t="str">
        <f>'DATA ENTRY 2'!$C$5</f>
        <v>Miss REDACTED (Claimant)</v>
      </c>
      <c r="B5" s="87"/>
      <c r="C5" s="87"/>
      <c r="D5" s="87"/>
      <c r="E5" s="88"/>
      <c r="F5" s="87"/>
      <c r="G5" s="87"/>
    </row>
    <row r="6" spans="1:7 16384:16384">
      <c r="A6" s="87" t="s">
        <v>450</v>
      </c>
      <c r="B6" s="87"/>
      <c r="C6" s="87"/>
      <c r="D6" s="87"/>
      <c r="E6" s="88"/>
      <c r="F6" s="87"/>
      <c r="G6" s="87"/>
    </row>
    <row r="7" spans="1:7 16384:16384" ht="15.6" thickBot="1"/>
    <row r="8" spans="1:7 16384:16384" ht="30.6" customHeight="1" thickBot="1">
      <c r="A8" s="274" t="s">
        <v>430</v>
      </c>
      <c r="B8" s="275"/>
      <c r="C8" s="275"/>
      <c r="D8" s="275"/>
      <c r="E8" s="275"/>
      <c r="F8" s="275"/>
      <c r="G8" s="276"/>
      <c r="XFD8" s="184"/>
    </row>
    <row r="9" spans="1:7 16384:16384" ht="30.75" customHeight="1" thickBot="1">
      <c r="A9" s="47" t="s">
        <v>74</v>
      </c>
      <c r="B9" s="48" t="s">
        <v>75</v>
      </c>
      <c r="C9" s="48" t="s">
        <v>386</v>
      </c>
      <c r="D9" s="48" t="s">
        <v>77</v>
      </c>
      <c r="E9" s="49" t="s">
        <v>78</v>
      </c>
      <c r="F9" s="48" t="s">
        <v>389</v>
      </c>
      <c r="G9" s="50" t="s">
        <v>390</v>
      </c>
      <c r="XFD9" s="184"/>
    </row>
    <row r="10" spans="1:7 16384:16384" ht="409.6" customHeight="1">
      <c r="A10" s="272" t="s">
        <v>429</v>
      </c>
      <c r="B10" s="270" t="s">
        <v>435</v>
      </c>
      <c r="C10" s="270" t="s">
        <v>419</v>
      </c>
      <c r="D10" s="270" t="s">
        <v>416</v>
      </c>
      <c r="E10" s="266">
        <v>1496</v>
      </c>
      <c r="F10" s="268"/>
      <c r="G10" s="264"/>
    </row>
    <row r="11" spans="1:7 16384:16384" ht="33" customHeight="1">
      <c r="A11" s="273"/>
      <c r="B11" s="271"/>
      <c r="C11" s="271"/>
      <c r="D11" s="271"/>
      <c r="E11" s="267"/>
      <c r="F11" s="269"/>
      <c r="G11" s="265"/>
    </row>
    <row r="12" spans="1:7 16384:16384" ht="15" customHeight="1" thickBot="1">
      <c r="A12" s="207"/>
      <c r="B12" s="207"/>
      <c r="C12" s="207"/>
      <c r="D12" s="207"/>
      <c r="E12" s="196"/>
      <c r="F12" s="208"/>
      <c r="G12" s="208"/>
    </row>
    <row r="13" spans="1:7 16384:16384" ht="30.6" customHeight="1" thickBot="1">
      <c r="A13" s="274" t="s">
        <v>432</v>
      </c>
      <c r="B13" s="275"/>
      <c r="C13" s="275"/>
      <c r="D13" s="275"/>
      <c r="E13" s="275"/>
      <c r="F13" s="275"/>
      <c r="G13" s="276"/>
      <c r="XFD13" s="184"/>
    </row>
    <row r="14" spans="1:7 16384:16384" ht="30.75" customHeight="1" thickBot="1">
      <c r="A14" s="47" t="s">
        <v>74</v>
      </c>
      <c r="B14" s="48" t="s">
        <v>75</v>
      </c>
      <c r="C14" s="48" t="s">
        <v>386</v>
      </c>
      <c r="D14" s="48" t="s">
        <v>77</v>
      </c>
      <c r="E14" s="49" t="s">
        <v>78</v>
      </c>
      <c r="F14" s="48" t="s">
        <v>389</v>
      </c>
      <c r="G14" s="50" t="s">
        <v>390</v>
      </c>
      <c r="XFD14" s="184"/>
    </row>
    <row r="15" spans="1:7 16384:16384" ht="145.19999999999999" customHeight="1">
      <c r="A15" s="272" t="s">
        <v>431</v>
      </c>
      <c r="B15" s="270" t="s">
        <v>436</v>
      </c>
      <c r="C15" s="270" t="s">
        <v>419</v>
      </c>
      <c r="D15" s="270" t="s">
        <v>418</v>
      </c>
      <c r="E15" s="266">
        <v>150</v>
      </c>
      <c r="F15" s="268"/>
      <c r="G15" s="264"/>
    </row>
    <row r="16" spans="1:7 16384:16384">
      <c r="A16" s="273"/>
      <c r="B16" s="271"/>
      <c r="C16" s="271"/>
      <c r="D16" s="271"/>
      <c r="E16" s="267"/>
      <c r="F16" s="269"/>
      <c r="G16" s="265"/>
    </row>
    <row r="17" spans="1:7 16384:16384" ht="15" customHeight="1">
      <c r="A17" s="207"/>
      <c r="B17" s="207"/>
      <c r="C17" s="207"/>
      <c r="D17" s="207"/>
      <c r="E17" s="196"/>
      <c r="F17" s="208"/>
      <c r="G17" s="208"/>
    </row>
    <row r="18" spans="1:7 16384:16384" ht="18" customHeight="1">
      <c r="A18" s="207"/>
      <c r="B18" s="207"/>
      <c r="C18" s="207"/>
      <c r="D18" s="209" t="s">
        <v>106</v>
      </c>
      <c r="E18" s="210">
        <f>SUM(E1:E17)</f>
        <v>1646</v>
      </c>
      <c r="F18" s="208"/>
      <c r="G18" s="208"/>
    </row>
    <row r="19" spans="1:7 16384:16384" ht="18" customHeight="1">
      <c r="A19" s="207"/>
      <c r="B19" s="207"/>
      <c r="C19" s="207"/>
      <c r="D19" s="209" t="s">
        <v>107</v>
      </c>
      <c r="E19" s="210">
        <f>E18*20%</f>
        <v>329.20000000000005</v>
      </c>
      <c r="F19" s="208"/>
      <c r="G19" s="208"/>
    </row>
    <row r="20" spans="1:7 16384:16384" ht="18" customHeight="1">
      <c r="A20" s="207"/>
      <c r="B20" s="207"/>
      <c r="C20" s="207"/>
      <c r="D20" s="209" t="s">
        <v>108</v>
      </c>
      <c r="E20" s="210">
        <f>E18+E19</f>
        <v>1975.2</v>
      </c>
      <c r="F20" s="208"/>
      <c r="G20" s="208"/>
    </row>
    <row r="21" spans="1:7 16384:16384" ht="15" customHeight="1" thickBot="1">
      <c r="A21" s="207"/>
      <c r="B21" s="207"/>
      <c r="C21" s="207"/>
      <c r="D21" s="207"/>
      <c r="E21" s="196"/>
      <c r="F21" s="208"/>
      <c r="G21" s="208"/>
    </row>
    <row r="22" spans="1:7 16384:16384" ht="30.6" customHeight="1" thickBot="1">
      <c r="A22" s="274" t="s">
        <v>434</v>
      </c>
      <c r="B22" s="275"/>
      <c r="C22" s="275"/>
      <c r="D22" s="275"/>
      <c r="E22" s="275"/>
      <c r="F22" s="275"/>
      <c r="G22" s="276"/>
      <c r="XFD22" s="184"/>
    </row>
    <row r="23" spans="1:7 16384:16384" ht="30.75" customHeight="1" thickBot="1">
      <c r="A23" s="47" t="s">
        <v>74</v>
      </c>
      <c r="B23" s="48" t="s">
        <v>75</v>
      </c>
      <c r="C23" s="48" t="s">
        <v>386</v>
      </c>
      <c r="D23" s="48" t="s">
        <v>77</v>
      </c>
      <c r="E23" s="49" t="s">
        <v>78</v>
      </c>
      <c r="F23" s="48" t="s">
        <v>389</v>
      </c>
      <c r="G23" s="50" t="s">
        <v>390</v>
      </c>
      <c r="XFD23" s="184"/>
    </row>
    <row r="24" spans="1:7 16384:16384" ht="158.4" customHeight="1">
      <c r="A24" s="272" t="s">
        <v>433</v>
      </c>
      <c r="B24" s="270" t="s">
        <v>437</v>
      </c>
      <c r="C24" s="270" t="s">
        <v>444</v>
      </c>
      <c r="D24" s="270" t="s">
        <v>421</v>
      </c>
      <c r="E24" s="266">
        <v>624</v>
      </c>
      <c r="F24" s="268"/>
      <c r="G24" s="264"/>
    </row>
    <row r="25" spans="1:7 16384:16384">
      <c r="A25" s="273"/>
      <c r="B25" s="271"/>
      <c r="C25" s="271"/>
      <c r="D25" s="271"/>
      <c r="E25" s="267"/>
      <c r="F25" s="269"/>
      <c r="G25" s="265"/>
    </row>
    <row r="26" spans="1:7 16384:16384" ht="15" customHeight="1">
      <c r="A26" s="207"/>
      <c r="B26" s="207"/>
      <c r="C26" s="207"/>
      <c r="D26" s="207"/>
      <c r="E26" s="196"/>
      <c r="F26" s="208"/>
      <c r="G26" s="208"/>
    </row>
    <row r="27" spans="1:7 16384:16384" ht="18" customHeight="1">
      <c r="A27" s="207"/>
      <c r="B27" s="207"/>
      <c r="C27" s="207"/>
      <c r="D27" s="209" t="s">
        <v>438</v>
      </c>
      <c r="E27" s="210">
        <f>SUM(E22:E26)</f>
        <v>624</v>
      </c>
      <c r="F27" s="208"/>
      <c r="G27" s="208"/>
    </row>
    <row r="28" spans="1:7 16384:16384" ht="18" customHeight="1">
      <c r="D28" s="211" t="s">
        <v>107</v>
      </c>
      <c r="E28" s="212">
        <f>E27*20%</f>
        <v>124.80000000000001</v>
      </c>
    </row>
    <row r="29" spans="1:7 16384:16384" ht="18" customHeight="1">
      <c r="D29" s="211" t="s">
        <v>439</v>
      </c>
      <c r="E29" s="212">
        <f>E27+E28</f>
        <v>748.8</v>
      </c>
    </row>
  </sheetData>
  <mergeCells count="24">
    <mergeCell ref="A8:G8"/>
    <mergeCell ref="A13:G13"/>
    <mergeCell ref="A22:G22"/>
    <mergeCell ref="G24:G25"/>
    <mergeCell ref="B10:B11"/>
    <mergeCell ref="A10:A11"/>
    <mergeCell ref="C10:C11"/>
    <mergeCell ref="D10:D11"/>
    <mergeCell ref="E10:E11"/>
    <mergeCell ref="F10:F11"/>
    <mergeCell ref="G10:G11"/>
    <mergeCell ref="B15:B16"/>
    <mergeCell ref="A15:A16"/>
    <mergeCell ref="C15:C16"/>
    <mergeCell ref="D15:D16"/>
    <mergeCell ref="E15:E16"/>
    <mergeCell ref="G15:G16"/>
    <mergeCell ref="E24:E25"/>
    <mergeCell ref="F24:F25"/>
    <mergeCell ref="B24:B25"/>
    <mergeCell ref="A24:A25"/>
    <mergeCell ref="C24:C25"/>
    <mergeCell ref="D24:D25"/>
    <mergeCell ref="F15:F16"/>
  </mergeCells>
  <pageMargins left="0.7" right="0.7" top="0.75" bottom="0.75" header="0.3" footer="0.3"/>
  <pageSetup paperSize="8" fitToHeight="0" orientation="landscape" r:id="rId1"/>
  <headerFooter>
    <oddFooter>&amp;C&amp;"Arial,Regular"&amp;8&amp;P</oddFooter>
  </headerFooter>
  <rowBreaks count="1" manualBreakCount="1">
    <brk id="12" max="6" man="1"/>
  </rowBreaks>
  <colBreaks count="1" manualBreakCount="1">
    <brk id="7"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DA03E-CAAA-4032-B1E3-93A15F273A27}">
  <sheetPr codeName="Sheet17"/>
  <dimension ref="A1:G63"/>
  <sheetViews>
    <sheetView view="pageBreakPreview" zoomScale="85" zoomScaleNormal="100" zoomScaleSheetLayoutView="85" workbookViewId="0">
      <selection activeCell="J22" sqref="J22"/>
    </sheetView>
  </sheetViews>
  <sheetFormatPr defaultColWidth="9.1796875" defaultRowHeight="15"/>
  <cols>
    <col min="1" max="1" width="14.81640625" style="29" customWidth="1"/>
    <col min="2" max="2" width="32.1796875" style="29" customWidth="1"/>
    <col min="3" max="3" width="9.1796875" style="29"/>
    <col min="4" max="4" width="16.1796875" style="29" customWidth="1"/>
    <col min="5" max="5" width="10.08984375" style="39" customWidth="1"/>
    <col min="6" max="6" width="9.81640625" style="29" customWidth="1"/>
    <col min="7" max="7" width="13.6328125" style="29" customWidth="1"/>
    <col min="8" max="16383" width="9.1796875" style="2"/>
    <col min="16384" max="16384" width="9.1796875" style="2" customWidth="1"/>
  </cols>
  <sheetData>
    <row r="1" spans="1:7" ht="22.8">
      <c r="A1" s="12" t="s">
        <v>50</v>
      </c>
      <c r="B1" s="12"/>
      <c r="C1" s="73"/>
      <c r="D1" s="73"/>
      <c r="E1" s="73"/>
      <c r="F1" s="73"/>
      <c r="G1" s="73"/>
    </row>
    <row r="2" spans="1:7" ht="6.75" customHeight="1">
      <c r="A2" s="2"/>
      <c r="B2" s="2"/>
      <c r="C2" s="2"/>
      <c r="D2" s="2"/>
      <c r="E2" s="2"/>
      <c r="F2" s="2"/>
      <c r="G2" s="2"/>
    </row>
    <row r="3" spans="1:7">
      <c r="A3" s="25" t="s">
        <v>148</v>
      </c>
      <c r="B3" s="2"/>
      <c r="C3"/>
      <c r="D3" s="80"/>
      <c r="E3" s="80"/>
      <c r="F3" s="80"/>
      <c r="G3" s="80"/>
    </row>
    <row r="4" spans="1:7">
      <c r="A4" s="26"/>
      <c r="B4" s="79"/>
      <c r="C4"/>
      <c r="D4" s="96"/>
      <c r="E4" s="96"/>
      <c r="F4" s="96"/>
      <c r="G4" s="96"/>
    </row>
    <row r="5" spans="1:7" ht="15" customHeight="1">
      <c r="A5" s="247" t="s">
        <v>51</v>
      </c>
      <c r="B5" s="247"/>
      <c r="C5" s="247"/>
      <c r="D5" s="247"/>
      <c r="E5" s="247"/>
      <c r="F5" s="247"/>
      <c r="G5" s="247"/>
    </row>
    <row r="6" spans="1:7">
      <c r="A6" s="247"/>
      <c r="B6" s="247"/>
      <c r="C6" s="247"/>
      <c r="D6" s="247"/>
      <c r="E6" s="247"/>
      <c r="F6" s="247"/>
      <c r="G6" s="247"/>
    </row>
    <row r="7" spans="1:7">
      <c r="A7" s="247"/>
      <c r="B7" s="247"/>
      <c r="C7" s="247"/>
      <c r="D7" s="247"/>
      <c r="E7" s="247"/>
      <c r="F7" s="247"/>
      <c r="G7" s="247"/>
    </row>
    <row r="8" spans="1:7" ht="15" customHeight="1">
      <c r="A8" s="247" t="s">
        <v>52</v>
      </c>
      <c r="B8" s="247"/>
      <c r="C8" s="247"/>
      <c r="D8" s="247"/>
      <c r="E8" s="247"/>
      <c r="F8" s="247"/>
      <c r="G8" s="247"/>
    </row>
    <row r="9" spans="1:7">
      <c r="A9" s="247"/>
      <c r="B9" s="247"/>
      <c r="C9" s="247"/>
      <c r="D9" s="247"/>
      <c r="E9" s="247"/>
      <c r="F9" s="247"/>
      <c r="G9" s="247"/>
    </row>
    <row r="10" spans="1:7" ht="15.6" customHeight="1">
      <c r="A10" s="79" t="s">
        <v>53</v>
      </c>
      <c r="B10" s="2"/>
      <c r="C10" s="79"/>
      <c r="D10" s="79"/>
      <c r="E10" s="79"/>
      <c r="F10" s="79"/>
      <c r="G10" s="79"/>
    </row>
    <row r="11" spans="1:7" ht="15" customHeight="1">
      <c r="A11" s="247" t="s">
        <v>54</v>
      </c>
      <c r="B11" s="247"/>
      <c r="C11" s="247"/>
      <c r="D11" s="247"/>
      <c r="E11" s="247"/>
      <c r="F11" s="247"/>
      <c r="G11" s="247"/>
    </row>
    <row r="12" spans="1:7">
      <c r="A12" s="247"/>
      <c r="B12" s="247"/>
      <c r="C12" s="247"/>
      <c r="D12" s="247"/>
      <c r="E12" s="247"/>
      <c r="F12" s="247"/>
      <c r="G12" s="247"/>
    </row>
    <row r="13" spans="1:7" ht="15" customHeight="1">
      <c r="A13" s="247" t="s">
        <v>55</v>
      </c>
      <c r="B13" s="247"/>
      <c r="C13" s="247"/>
      <c r="D13" s="247"/>
      <c r="E13" s="247"/>
      <c r="F13" s="247"/>
      <c r="G13" s="247"/>
    </row>
    <row r="14" spans="1:7">
      <c r="A14" s="247"/>
      <c r="B14" s="247"/>
      <c r="C14" s="247"/>
      <c r="D14" s="247"/>
      <c r="E14" s="247"/>
      <c r="F14" s="247"/>
      <c r="G14" s="247"/>
    </row>
    <row r="15" spans="1:7">
      <c r="A15" s="277" t="s">
        <v>56</v>
      </c>
      <c r="B15" s="277"/>
      <c r="C15" s="277"/>
      <c r="D15" s="277"/>
      <c r="E15" s="277"/>
      <c r="F15" s="277"/>
      <c r="G15" s="277"/>
    </row>
    <row r="16" spans="1:7" ht="15" customHeight="1">
      <c r="A16" s="247" t="s">
        <v>57</v>
      </c>
      <c r="B16" s="247"/>
      <c r="C16" s="247"/>
      <c r="D16" s="247"/>
      <c r="E16" s="247"/>
      <c r="F16" s="247"/>
      <c r="G16" s="247"/>
    </row>
    <row r="17" spans="1:7" ht="15" customHeight="1">
      <c r="A17" s="247" t="s">
        <v>58</v>
      </c>
      <c r="B17" s="247"/>
      <c r="C17" s="247"/>
      <c r="D17" s="247"/>
      <c r="E17" s="247"/>
      <c r="F17" s="247"/>
      <c r="G17" s="247"/>
    </row>
    <row r="18" spans="1:7">
      <c r="A18" s="247"/>
      <c r="B18" s="247"/>
      <c r="C18" s="247"/>
      <c r="D18" s="247"/>
      <c r="E18" s="247"/>
      <c r="F18" s="247"/>
      <c r="G18" s="247"/>
    </row>
    <row r="19" spans="1:7" ht="15.6" customHeight="1">
      <c r="A19" s="247" t="s">
        <v>59</v>
      </c>
      <c r="B19" s="247"/>
      <c r="C19" s="247"/>
      <c r="D19" s="247"/>
      <c r="E19" s="247"/>
      <c r="F19" s="247"/>
      <c r="G19" s="247"/>
    </row>
    <row r="20" spans="1:7">
      <c r="A20" s="247"/>
      <c r="B20" s="247"/>
      <c r="C20" s="247"/>
      <c r="D20" s="247"/>
      <c r="E20" s="247"/>
      <c r="F20" s="247"/>
      <c r="G20" s="247"/>
    </row>
    <row r="21" spans="1:7" ht="15.6" customHeight="1">
      <c r="A21" s="247" t="s">
        <v>60</v>
      </c>
      <c r="B21" s="247"/>
      <c r="C21" s="247"/>
      <c r="D21" s="247"/>
      <c r="E21" s="247"/>
      <c r="F21" s="247"/>
      <c r="G21" s="247"/>
    </row>
    <row r="22" spans="1:7" ht="15.6" customHeight="1">
      <c r="A22" s="247"/>
      <c r="B22" s="247"/>
      <c r="C22" s="247"/>
      <c r="D22" s="247"/>
      <c r="E22" s="247"/>
      <c r="F22" s="247"/>
      <c r="G22" s="247"/>
    </row>
    <row r="23" spans="1:7" ht="15.6" customHeight="1">
      <c r="A23" s="247" t="s">
        <v>61</v>
      </c>
      <c r="B23" s="247"/>
      <c r="C23" s="247"/>
      <c r="D23" s="247"/>
      <c r="E23" s="247"/>
      <c r="F23" s="247"/>
      <c r="G23" s="247"/>
    </row>
    <row r="24" spans="1:7" ht="15.6" customHeight="1">
      <c r="A24" s="79"/>
      <c r="B24" s="247" t="s">
        <v>71</v>
      </c>
      <c r="C24" s="247"/>
      <c r="D24" s="247"/>
      <c r="E24" s="247"/>
      <c r="F24" s="247"/>
      <c r="G24" s="247"/>
    </row>
    <row r="25" spans="1:7">
      <c r="A25" s="79"/>
      <c r="B25" s="247"/>
      <c r="C25" s="247"/>
      <c r="D25" s="247"/>
      <c r="E25" s="247"/>
      <c r="F25" s="247"/>
      <c r="G25" s="247"/>
    </row>
    <row r="26" spans="1:7">
      <c r="A26" s="79"/>
      <c r="B26" s="86"/>
      <c r="C26" s="86"/>
      <c r="D26" s="86"/>
      <c r="E26" s="86"/>
      <c r="F26" s="86"/>
      <c r="G26" s="86"/>
    </row>
    <row r="27" spans="1:7" ht="15.6" customHeight="1">
      <c r="A27" s="79"/>
      <c r="B27" s="247" t="s">
        <v>62</v>
      </c>
      <c r="C27" s="247"/>
      <c r="D27" s="247"/>
      <c r="E27" s="247"/>
      <c r="F27" s="247"/>
      <c r="G27" s="247"/>
    </row>
    <row r="28" spans="1:7">
      <c r="A28" s="79"/>
      <c r="B28" s="247"/>
      <c r="C28" s="247"/>
      <c r="D28" s="247"/>
      <c r="E28" s="247"/>
      <c r="F28" s="247"/>
      <c r="G28" s="247"/>
    </row>
    <row r="29" spans="1:7">
      <c r="A29" s="79"/>
      <c r="B29" s="247"/>
      <c r="C29" s="247"/>
      <c r="D29" s="247"/>
      <c r="E29" s="247"/>
      <c r="F29" s="247"/>
      <c r="G29" s="247"/>
    </row>
    <row r="30" spans="1:7">
      <c r="A30" s="79"/>
      <c r="B30" s="86"/>
      <c r="C30" s="86"/>
      <c r="D30" s="86"/>
      <c r="E30" s="86"/>
      <c r="F30" s="86"/>
      <c r="G30" s="86"/>
    </row>
    <row r="31" spans="1:7" ht="15.6" customHeight="1">
      <c r="A31" s="25"/>
      <c r="B31" s="247" t="s">
        <v>70</v>
      </c>
      <c r="C31" s="247"/>
      <c r="D31" s="247"/>
      <c r="E31" s="247"/>
      <c r="F31" s="247"/>
      <c r="G31" s="247"/>
    </row>
    <row r="32" spans="1:7">
      <c r="A32" s="13"/>
      <c r="B32" s="247"/>
      <c r="C32" s="247"/>
      <c r="D32" s="247"/>
      <c r="E32" s="247"/>
      <c r="F32" s="247"/>
      <c r="G32" s="247"/>
    </row>
    <row r="33" spans="1:7">
      <c r="A33" s="73"/>
      <c r="B33" s="86"/>
      <c r="C33" s="86"/>
      <c r="D33" s="86"/>
      <c r="E33" s="86"/>
      <c r="F33" s="86"/>
      <c r="G33" s="86"/>
    </row>
    <row r="34" spans="1:7" ht="15.6" customHeight="1">
      <c r="A34" s="2"/>
      <c r="B34" s="247" t="s">
        <v>63</v>
      </c>
      <c r="C34" s="247"/>
      <c r="D34" s="247"/>
      <c r="E34" s="247"/>
      <c r="F34" s="247"/>
      <c r="G34" s="247"/>
    </row>
    <row r="35" spans="1:7" ht="15.6" customHeight="1">
      <c r="A35" s="2"/>
      <c r="B35" s="86"/>
      <c r="C35" s="86"/>
      <c r="D35" s="86"/>
      <c r="E35" s="86"/>
      <c r="F35" s="86"/>
      <c r="G35" s="86"/>
    </row>
    <row r="36" spans="1:7" ht="15.6" customHeight="1">
      <c r="A36" s="2"/>
      <c r="B36" s="247" t="s">
        <v>64</v>
      </c>
      <c r="C36" s="247"/>
      <c r="D36" s="247"/>
      <c r="E36" s="247"/>
      <c r="F36" s="247"/>
      <c r="G36" s="247"/>
    </row>
    <row r="37" spans="1:7">
      <c r="A37" s="2"/>
      <c r="B37" s="247"/>
      <c r="C37" s="247"/>
      <c r="D37" s="247"/>
      <c r="E37" s="247"/>
      <c r="F37" s="247"/>
      <c r="G37" s="247"/>
    </row>
    <row r="38" spans="1:7">
      <c r="A38" s="2"/>
      <c r="B38" s="86"/>
      <c r="C38" s="86"/>
      <c r="D38" s="86"/>
      <c r="E38" s="86"/>
      <c r="F38" s="86"/>
      <c r="G38" s="86"/>
    </row>
    <row r="39" spans="1:7" ht="15" customHeight="1">
      <c r="A39" s="247" t="s">
        <v>65</v>
      </c>
      <c r="B39" s="247"/>
      <c r="C39" s="247"/>
      <c r="D39" s="247"/>
      <c r="E39" s="247"/>
      <c r="F39" s="247"/>
      <c r="G39" s="247"/>
    </row>
    <row r="40" spans="1:7">
      <c r="A40" s="247"/>
      <c r="B40" s="247"/>
      <c r="C40" s="247"/>
      <c r="D40" s="247"/>
      <c r="E40" s="247"/>
      <c r="F40" s="247"/>
      <c r="G40" s="247"/>
    </row>
    <row r="41" spans="1:7" ht="15" customHeight="1">
      <c r="A41" s="247" t="s">
        <v>66</v>
      </c>
      <c r="B41" s="247"/>
      <c r="C41" s="247"/>
      <c r="D41" s="247"/>
      <c r="E41" s="247"/>
      <c r="F41" s="247"/>
      <c r="G41" s="247"/>
    </row>
    <row r="42" spans="1:7">
      <c r="A42" s="247"/>
      <c r="B42" s="247"/>
      <c r="C42" s="247"/>
      <c r="D42" s="247"/>
      <c r="E42" s="247"/>
      <c r="F42" s="247"/>
      <c r="G42" s="247"/>
    </row>
    <row r="43" spans="1:7">
      <c r="A43" s="2"/>
      <c r="B43" s="79"/>
      <c r="C43"/>
      <c r="D43" s="2"/>
      <c r="E43" s="2"/>
      <c r="F43" s="2"/>
      <c r="G43" s="2"/>
    </row>
    <row r="44" spans="1:7">
      <c r="A44" s="25" t="s">
        <v>69</v>
      </c>
      <c r="B44" s="2"/>
      <c r="C44"/>
      <c r="D44" s="73"/>
      <c r="E44" s="73"/>
      <c r="F44" s="73"/>
      <c r="G44" s="73"/>
    </row>
    <row r="45" spans="1:7">
      <c r="A45" s="73"/>
      <c r="B45" s="13"/>
      <c r="C45"/>
      <c r="D45" s="73"/>
      <c r="E45" s="73"/>
      <c r="F45" s="73"/>
      <c r="G45" s="73"/>
    </row>
    <row r="46" spans="1:7" ht="15.6" customHeight="1">
      <c r="A46" s="247" t="s">
        <v>67</v>
      </c>
      <c r="B46" s="247"/>
      <c r="C46" s="247"/>
      <c r="D46" s="247"/>
      <c r="E46" s="247"/>
      <c r="F46" s="247"/>
      <c r="G46" s="247"/>
    </row>
    <row r="47" spans="1:7">
      <c r="A47" s="247"/>
      <c r="B47" s="247"/>
      <c r="C47" s="247"/>
      <c r="D47" s="247"/>
      <c r="E47" s="247"/>
      <c r="F47" s="247"/>
      <c r="G47" s="247"/>
    </row>
    <row r="48" spans="1:7">
      <c r="A48" s="247"/>
      <c r="B48" s="247"/>
      <c r="C48" s="247"/>
      <c r="D48" s="247"/>
      <c r="E48" s="247"/>
      <c r="F48" s="247"/>
      <c r="G48" s="247"/>
    </row>
    <row r="49" spans="1:7">
      <c r="A49" s="86"/>
      <c r="B49" s="86"/>
      <c r="C49" s="86"/>
      <c r="D49" s="86"/>
      <c r="E49" s="86"/>
      <c r="F49" s="86"/>
      <c r="G49" s="86"/>
    </row>
    <row r="50" spans="1:7" ht="15" customHeight="1">
      <c r="A50" s="247" t="s">
        <v>68</v>
      </c>
      <c r="B50" s="247"/>
      <c r="C50" s="247"/>
      <c r="D50" s="247"/>
      <c r="E50" s="247"/>
      <c r="F50" s="247"/>
      <c r="G50" s="247"/>
    </row>
    <row r="51" spans="1:7">
      <c r="A51" s="247"/>
      <c r="B51" s="247"/>
      <c r="C51" s="247"/>
      <c r="D51" s="247"/>
      <c r="E51" s="247"/>
      <c r="F51" s="247"/>
      <c r="G51" s="247"/>
    </row>
    <row r="52" spans="1:7">
      <c r="A52" s="86"/>
      <c r="B52" s="86"/>
      <c r="C52" s="86"/>
      <c r="D52" s="86"/>
      <c r="E52" s="86"/>
      <c r="F52" s="86"/>
      <c r="G52" s="86"/>
    </row>
    <row r="53" spans="1:7">
      <c r="A53" s="86" t="s">
        <v>149</v>
      </c>
      <c r="B53" s="100" t="str">
        <f>Cover!A16</f>
        <v>Flat REDACTED, Regency Street, London, SW1P 4BE</v>
      </c>
      <c r="C53" s="86"/>
      <c r="D53" s="86"/>
      <c r="E53" s="86"/>
      <c r="F53" s="86"/>
      <c r="G53" s="86"/>
    </row>
    <row r="54" spans="1:7">
      <c r="A54" s="86"/>
      <c r="B54" s="86"/>
      <c r="C54" s="86"/>
      <c r="D54" s="86"/>
      <c r="E54" s="86"/>
      <c r="F54" s="86"/>
      <c r="G54" s="86"/>
    </row>
    <row r="55" spans="1:7">
      <c r="A55" s="86" t="s">
        <v>150</v>
      </c>
      <c r="B55" s="101" t="str">
        <f>'DATA ENTRY 2'!C5</f>
        <v>Miss REDACTED (Claimant)</v>
      </c>
      <c r="C55" s="86"/>
      <c r="D55" s="86"/>
      <c r="E55" s="86"/>
      <c r="F55" s="86"/>
      <c r="G55" s="86"/>
    </row>
    <row r="56" spans="1:7">
      <c r="A56" s="86"/>
      <c r="B56" s="86"/>
      <c r="C56" s="86"/>
      <c r="D56" s="86"/>
      <c r="E56" s="86"/>
      <c r="F56" s="86"/>
      <c r="G56" s="86"/>
    </row>
    <row r="57" spans="1:7">
      <c r="A57" s="75" t="s">
        <v>151</v>
      </c>
      <c r="B57" s="79" t="s">
        <v>90</v>
      </c>
      <c r="C57" s="75"/>
      <c r="D57" s="73"/>
      <c r="E57" s="104" t="s">
        <v>153</v>
      </c>
      <c r="F57" s="73"/>
      <c r="G57" s="73"/>
    </row>
    <row r="58" spans="1:7">
      <c r="A58" s="73"/>
      <c r="B58" s="33"/>
      <c r="C58"/>
      <c r="D58" s="73"/>
      <c r="E58" s="105"/>
      <c r="F58" s="73"/>
      <c r="G58" s="73"/>
    </row>
    <row r="59" spans="1:7">
      <c r="A59" s="73"/>
      <c r="B59" s="33"/>
      <c r="C59"/>
      <c r="D59" s="73"/>
      <c r="E59" s="105"/>
      <c r="F59" s="73"/>
      <c r="G59" s="73"/>
    </row>
    <row r="60" spans="1:7">
      <c r="A60" s="73" t="s">
        <v>92</v>
      </c>
      <c r="B60" s="33"/>
      <c r="C60"/>
      <c r="D60" s="73"/>
      <c r="E60" s="105" t="s">
        <v>152</v>
      </c>
      <c r="F60" s="73"/>
      <c r="G60" s="73"/>
    </row>
    <row r="61" spans="1:7">
      <c r="A61" s="73"/>
      <c r="B61" s="33"/>
      <c r="C61"/>
      <c r="D61" s="73"/>
      <c r="E61" s="73"/>
      <c r="F61" s="73"/>
      <c r="G61" s="73"/>
    </row>
    <row r="62" spans="1:7">
      <c r="A62" s="73"/>
      <c r="B62" s="33"/>
      <c r="C62"/>
      <c r="D62" s="73"/>
      <c r="E62" s="73"/>
      <c r="F62" s="73"/>
      <c r="G62" s="73"/>
    </row>
    <row r="63" spans="1:7">
      <c r="A63" s="79" t="s">
        <v>72</v>
      </c>
      <c r="B63" s="102">
        <f>'DATA ENTRY 2'!C4</f>
        <v>46272</v>
      </c>
      <c r="C63"/>
      <c r="D63" s="73"/>
      <c r="E63" s="79" t="s">
        <v>72</v>
      </c>
      <c r="F63" s="103"/>
      <c r="G63" s="73"/>
    </row>
  </sheetData>
  <mergeCells count="19">
    <mergeCell ref="A21:G22"/>
    <mergeCell ref="A5:G7"/>
    <mergeCell ref="A8:G9"/>
    <mergeCell ref="A11:G12"/>
    <mergeCell ref="A13:G14"/>
    <mergeCell ref="A15:G15"/>
    <mergeCell ref="A16:G16"/>
    <mergeCell ref="A17:G18"/>
    <mergeCell ref="A19:G20"/>
    <mergeCell ref="A39:G40"/>
    <mergeCell ref="A41:G42"/>
    <mergeCell ref="A46:G48"/>
    <mergeCell ref="A50:G51"/>
    <mergeCell ref="A23:G23"/>
    <mergeCell ref="B24:G25"/>
    <mergeCell ref="B27:G29"/>
    <mergeCell ref="B31:G32"/>
    <mergeCell ref="B34:G34"/>
    <mergeCell ref="B36:G37"/>
  </mergeCells>
  <pageMargins left="0.7" right="0.7" top="0.75" bottom="0.75" header="0.3" footer="0.3"/>
  <pageSetup scale="98" orientation="landscape" r:id="rId1"/>
  <headerFooter>
    <oddFooter>&amp;C&amp;"Arial,Regular"&amp;8&amp;P</oddFooter>
  </headerFooter>
  <colBreaks count="1" manualBreakCount="1">
    <brk id="7" max="1048575" man="1"/>
  </col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328F5-C6AD-485F-814D-5417964021DC}">
  <sheetPr codeName="Sheet8"/>
  <dimension ref="A1:V1335"/>
  <sheetViews>
    <sheetView showGridLines="0" tabSelected="1" view="pageBreakPreview" zoomScale="112" zoomScaleNormal="100" zoomScaleSheetLayoutView="112" workbookViewId="0">
      <pane xSplit="1" ySplit="3" topLeftCell="B145" activePane="bottomRight" state="frozen"/>
      <selection activeCell="P17" sqref="P17"/>
      <selection pane="topRight" activeCell="P17" sqref="P17"/>
      <selection pane="bottomLeft" activeCell="P17" sqref="P17"/>
      <selection pane="bottomRight" activeCell="P17" sqref="P17"/>
    </sheetView>
  </sheetViews>
  <sheetFormatPr defaultColWidth="9.1796875" defaultRowHeight="18" customHeight="1"/>
  <cols>
    <col min="1" max="1" width="3.6328125" style="43" customWidth="1"/>
    <col min="2" max="5" width="8.6328125" style="43" customWidth="1"/>
    <col min="6" max="6" width="3.6328125" style="43" customWidth="1"/>
    <col min="7" max="8" width="8.6328125" style="43" customWidth="1"/>
    <col min="9" max="9" width="18.6328125" style="43" customWidth="1"/>
    <col min="10" max="10" width="20" style="43" customWidth="1"/>
    <col min="11" max="11" width="24" style="43" customWidth="1"/>
    <col min="12" max="12" width="9.81640625" style="44" customWidth="1"/>
    <col min="13" max="22" width="5" style="44" customWidth="1"/>
    <col min="23" max="16384" width="9.1796875" style="43"/>
  </cols>
  <sheetData>
    <row r="1" spans="1:9" ht="18" customHeight="1" thickBot="1"/>
    <row r="2" spans="1:9" ht="18" customHeight="1" thickTop="1">
      <c r="A2" s="42"/>
      <c r="B2" s="42"/>
      <c r="C2" s="42"/>
      <c r="D2" s="42"/>
      <c r="E2" s="42"/>
      <c r="F2" s="42"/>
      <c r="G2" s="42"/>
      <c r="H2" s="42"/>
      <c r="I2" s="42"/>
    </row>
    <row r="3" spans="1:9" ht="18" customHeight="1">
      <c r="A3" s="280" t="s">
        <v>81</v>
      </c>
      <c r="B3" s="278"/>
      <c r="C3" s="278"/>
      <c r="D3" s="278"/>
      <c r="E3" s="278"/>
      <c r="F3" s="278"/>
      <c r="G3" s="278"/>
      <c r="H3" s="278"/>
      <c r="I3" s="278"/>
    </row>
    <row r="5" spans="1:9" ht="18" customHeight="1">
      <c r="A5" s="278" t="s">
        <v>445</v>
      </c>
      <c r="B5" s="278"/>
      <c r="C5" s="278"/>
      <c r="D5" s="278"/>
      <c r="E5" s="278"/>
      <c r="F5" s="278"/>
      <c r="G5" s="278"/>
      <c r="H5" s="278"/>
      <c r="I5" s="278"/>
    </row>
    <row r="7" spans="1:9" ht="18" customHeight="1">
      <c r="A7" s="82"/>
      <c r="B7" s="82"/>
      <c r="C7" s="82"/>
      <c r="D7" s="82"/>
      <c r="E7" s="82"/>
      <c r="F7" s="82"/>
      <c r="G7" s="82"/>
      <c r="H7" s="82"/>
      <c r="I7" s="82"/>
    </row>
    <row r="8" spans="1:9" ht="18" customHeight="1">
      <c r="A8" s="83"/>
    </row>
    <row r="9" spans="1:9" ht="18" customHeight="1">
      <c r="A9" s="82"/>
      <c r="B9" s="82"/>
      <c r="C9" s="82"/>
      <c r="D9" s="82"/>
      <c r="E9" s="82"/>
      <c r="F9" s="82"/>
      <c r="G9" s="82"/>
      <c r="H9" s="82"/>
      <c r="I9" s="82"/>
    </row>
    <row r="20" spans="1:9" ht="18" customHeight="1">
      <c r="B20" s="279"/>
      <c r="C20" s="279"/>
      <c r="D20" s="279"/>
      <c r="E20" s="45"/>
      <c r="G20" s="279"/>
      <c r="H20" s="279"/>
      <c r="I20" s="279"/>
    </row>
    <row r="22" spans="1:9" ht="18" customHeight="1">
      <c r="B22" s="279" t="s">
        <v>445</v>
      </c>
      <c r="C22" s="279"/>
      <c r="D22" s="279"/>
      <c r="E22" s="45"/>
      <c r="G22" s="279" t="s">
        <v>445</v>
      </c>
      <c r="H22" s="279"/>
      <c r="I22" s="279"/>
    </row>
    <row r="23" spans="1:9" ht="18" customHeight="1">
      <c r="B23" s="81"/>
      <c r="C23" s="81"/>
      <c r="D23" s="81"/>
      <c r="E23" s="81"/>
      <c r="F23" s="45"/>
      <c r="H23" s="81"/>
      <c r="I23" s="81"/>
    </row>
    <row r="24" spans="1:9" ht="18" customHeight="1">
      <c r="B24" s="81"/>
      <c r="C24" s="81"/>
      <c r="D24" s="81"/>
      <c r="E24" s="81"/>
      <c r="F24" s="81"/>
      <c r="G24" s="45"/>
    </row>
    <row r="25" spans="1:9" ht="18" customHeight="1">
      <c r="B25" s="81"/>
      <c r="C25" s="81"/>
      <c r="D25" s="81"/>
      <c r="E25" s="81"/>
      <c r="F25" s="81"/>
      <c r="G25" s="45"/>
    </row>
    <row r="26" spans="1:9" ht="18" customHeight="1">
      <c r="B26" s="81"/>
      <c r="C26" s="81"/>
      <c r="D26" s="81"/>
      <c r="E26" s="81"/>
      <c r="F26" s="81"/>
      <c r="G26" s="45"/>
    </row>
    <row r="27" spans="1:9" ht="18" customHeight="1">
      <c r="A27" s="45"/>
      <c r="B27" s="81"/>
      <c r="C27" s="81"/>
      <c r="D27" s="81"/>
      <c r="E27" s="81"/>
      <c r="F27" s="81"/>
      <c r="G27" s="45"/>
      <c r="H27" s="45"/>
      <c r="I27" s="45"/>
    </row>
    <row r="28" spans="1:9" ht="18" customHeight="1">
      <c r="B28" s="81"/>
      <c r="C28" s="81"/>
      <c r="D28" s="81"/>
      <c r="E28" s="81"/>
      <c r="F28" s="81"/>
      <c r="G28" s="45"/>
    </row>
    <row r="29" spans="1:9" ht="18" customHeight="1">
      <c r="A29" s="82"/>
      <c r="B29" s="82"/>
      <c r="C29" s="82"/>
      <c r="D29" s="82"/>
      <c r="E29" s="82"/>
      <c r="F29" s="82"/>
      <c r="G29" s="68"/>
    </row>
    <row r="38" spans="1:9" ht="18" customHeight="1">
      <c r="B38" s="279"/>
      <c r="C38" s="279"/>
      <c r="D38" s="279"/>
      <c r="E38" s="45"/>
      <c r="G38" s="279"/>
      <c r="H38" s="279"/>
      <c r="I38" s="279"/>
    </row>
    <row r="39" spans="1:9" ht="18" customHeight="1">
      <c r="B39" s="81"/>
      <c r="C39" s="81"/>
      <c r="D39" s="81"/>
      <c r="E39" s="81"/>
      <c r="F39" s="45"/>
      <c r="H39" s="81"/>
      <c r="I39" s="81"/>
    </row>
    <row r="40" spans="1:9" ht="18" customHeight="1">
      <c r="B40" s="279" t="s">
        <v>445</v>
      </c>
      <c r="C40" s="279"/>
      <c r="D40" s="279"/>
      <c r="E40" s="45"/>
      <c r="F40" s="81"/>
      <c r="G40" s="279" t="s">
        <v>445</v>
      </c>
      <c r="H40" s="279"/>
      <c r="I40" s="279"/>
    </row>
    <row r="41" spans="1:9" ht="18" customHeight="1">
      <c r="B41" s="81"/>
      <c r="C41" s="81"/>
      <c r="D41" s="81"/>
      <c r="E41" s="81"/>
      <c r="F41" s="81"/>
      <c r="G41" s="45"/>
    </row>
    <row r="42" spans="1:9" ht="18" customHeight="1">
      <c r="A42" s="278"/>
      <c r="B42" s="278"/>
      <c r="C42" s="278"/>
      <c r="D42" s="278"/>
      <c r="E42" s="278"/>
      <c r="F42" s="278"/>
      <c r="G42" s="278"/>
      <c r="H42" s="278"/>
      <c r="I42" s="278"/>
    </row>
    <row r="43" spans="1:9" ht="18" customHeight="1">
      <c r="A43" s="278"/>
      <c r="B43" s="278"/>
      <c r="C43" s="278"/>
      <c r="D43" s="278"/>
      <c r="E43" s="278"/>
      <c r="F43" s="278"/>
      <c r="G43" s="278"/>
      <c r="H43" s="278"/>
      <c r="I43" s="278"/>
    </row>
    <row r="45" spans="1:9" ht="18" customHeight="1">
      <c r="A45" s="278"/>
      <c r="B45" s="278"/>
      <c r="C45" s="278"/>
      <c r="D45" s="278"/>
      <c r="E45" s="278"/>
      <c r="F45" s="278"/>
      <c r="G45" s="278"/>
      <c r="H45" s="278"/>
      <c r="I45" s="278"/>
    </row>
    <row r="48" spans="1:9" ht="18" customHeight="1">
      <c r="A48" s="82"/>
      <c r="B48" s="82"/>
      <c r="C48" s="82"/>
      <c r="D48" s="82"/>
      <c r="E48" s="82"/>
      <c r="F48" s="82"/>
      <c r="G48" s="82"/>
      <c r="H48" s="82"/>
      <c r="I48" s="82"/>
    </row>
    <row r="49" spans="1:9" ht="18" customHeight="1">
      <c r="A49" s="82"/>
      <c r="B49" s="82"/>
      <c r="C49" s="82"/>
      <c r="D49" s="82"/>
      <c r="E49" s="82"/>
      <c r="F49" s="82"/>
      <c r="G49" s="82"/>
      <c r="H49" s="82"/>
      <c r="I49" s="82"/>
    </row>
    <row r="55" spans="1:9" ht="18" customHeight="1">
      <c r="B55" s="81"/>
      <c r="C55" s="81"/>
      <c r="D55" s="81"/>
      <c r="E55" s="81"/>
      <c r="F55" s="81"/>
      <c r="G55" s="45"/>
    </row>
    <row r="56" spans="1:9" ht="18" customHeight="1">
      <c r="B56" s="81"/>
      <c r="C56" s="81"/>
      <c r="D56" s="81"/>
      <c r="E56" s="81"/>
      <c r="F56" s="81"/>
      <c r="G56" s="45"/>
    </row>
    <row r="57" spans="1:9" ht="18" customHeight="1">
      <c r="B57" s="81"/>
      <c r="C57" s="81"/>
      <c r="D57" s="81"/>
      <c r="E57" s="81"/>
      <c r="F57" s="81"/>
      <c r="G57" s="45"/>
    </row>
    <row r="58" spans="1:9" ht="18" customHeight="1">
      <c r="B58" s="81"/>
      <c r="C58" s="81"/>
      <c r="D58" s="81"/>
      <c r="E58" s="81"/>
      <c r="F58" s="45"/>
      <c r="H58" s="81"/>
      <c r="I58" s="81"/>
    </row>
    <row r="59" spans="1:9" ht="18" customHeight="1">
      <c r="B59" s="279" t="s">
        <v>445</v>
      </c>
      <c r="C59" s="279"/>
      <c r="D59" s="279"/>
      <c r="E59" s="45"/>
      <c r="G59" s="279" t="s">
        <v>445</v>
      </c>
      <c r="H59" s="279"/>
      <c r="I59" s="279"/>
    </row>
    <row r="60" spans="1:9" ht="18" customHeight="1">
      <c r="B60" s="279"/>
      <c r="C60" s="279"/>
      <c r="D60" s="279"/>
      <c r="E60" s="45"/>
      <c r="G60" s="279"/>
      <c r="H60" s="279"/>
      <c r="I60" s="279"/>
    </row>
    <row r="61" spans="1:9" ht="18" customHeight="1">
      <c r="A61" s="81"/>
      <c r="B61" s="81"/>
      <c r="C61" s="81"/>
      <c r="D61" s="81"/>
      <c r="E61" s="81"/>
      <c r="F61" s="81"/>
      <c r="G61" s="81"/>
      <c r="H61" s="81"/>
      <c r="I61" s="81"/>
    </row>
    <row r="62" spans="1:9" ht="18" customHeight="1">
      <c r="B62" s="279"/>
      <c r="C62" s="279"/>
      <c r="D62" s="279"/>
      <c r="G62" s="279"/>
      <c r="H62" s="279"/>
      <c r="I62" s="279"/>
    </row>
    <row r="65" spans="1:9" ht="18" customHeight="1">
      <c r="B65" s="82"/>
      <c r="C65" s="82"/>
      <c r="D65" s="82"/>
      <c r="E65" s="82"/>
      <c r="F65" s="82"/>
      <c r="G65" s="68"/>
    </row>
    <row r="66" spans="1:9" ht="18" customHeight="1">
      <c r="B66" s="81"/>
      <c r="C66" s="81"/>
      <c r="D66" s="81"/>
      <c r="E66" s="81"/>
      <c r="F66" s="81"/>
      <c r="G66" s="45"/>
    </row>
    <row r="67" spans="1:9" ht="18" customHeight="1">
      <c r="B67" s="81"/>
      <c r="C67" s="81"/>
      <c r="D67" s="81"/>
      <c r="E67" s="81"/>
      <c r="F67" s="81"/>
      <c r="G67" s="45"/>
    </row>
    <row r="68" spans="1:9" ht="18" customHeight="1">
      <c r="B68" s="81"/>
      <c r="C68" s="81"/>
      <c r="D68" s="81"/>
      <c r="E68" s="81"/>
      <c r="F68" s="81"/>
      <c r="G68" s="45"/>
    </row>
    <row r="73" spans="1:9" ht="18" customHeight="1">
      <c r="B73" s="81"/>
      <c r="C73" s="81"/>
      <c r="D73" s="81"/>
      <c r="E73" s="81"/>
      <c r="F73" s="81"/>
      <c r="G73" s="45"/>
    </row>
    <row r="74" spans="1:9" ht="18" customHeight="1">
      <c r="B74" s="81"/>
      <c r="C74" s="81"/>
      <c r="D74" s="81"/>
      <c r="E74" s="81"/>
      <c r="F74" s="81"/>
      <c r="G74" s="45"/>
    </row>
    <row r="75" spans="1:9" ht="18" customHeight="1">
      <c r="B75" s="81"/>
      <c r="C75" s="81"/>
      <c r="D75" s="81"/>
      <c r="E75" s="81"/>
      <c r="F75" s="81"/>
      <c r="G75" s="45"/>
    </row>
    <row r="76" spans="1:9" ht="18" customHeight="1">
      <c r="B76" s="81"/>
      <c r="C76" s="81"/>
      <c r="D76" s="81"/>
      <c r="E76" s="81"/>
      <c r="F76" s="45"/>
      <c r="H76" s="81"/>
      <c r="I76" s="81"/>
    </row>
    <row r="77" spans="1:9" ht="18" customHeight="1">
      <c r="B77" s="279" t="s">
        <v>445</v>
      </c>
      <c r="C77" s="279"/>
      <c r="D77" s="279"/>
      <c r="G77" s="279" t="s">
        <v>445</v>
      </c>
      <c r="H77" s="279"/>
      <c r="I77" s="279"/>
    </row>
    <row r="78" spans="1:9" ht="18" customHeight="1">
      <c r="A78" s="82"/>
      <c r="B78" s="279"/>
      <c r="C78" s="279"/>
      <c r="D78" s="279"/>
      <c r="E78" s="45"/>
      <c r="F78" s="82"/>
      <c r="G78" s="82"/>
      <c r="H78" s="82"/>
      <c r="I78" s="82"/>
    </row>
    <row r="79" spans="1:9" ht="18" customHeight="1">
      <c r="A79" s="278"/>
      <c r="B79" s="278"/>
      <c r="C79" s="278"/>
      <c r="D79" s="278"/>
      <c r="E79" s="278"/>
      <c r="F79" s="278"/>
      <c r="G79" s="278"/>
      <c r="H79" s="278"/>
      <c r="I79" s="278"/>
    </row>
    <row r="80" spans="1:9" ht="18" customHeight="1">
      <c r="A80" s="82"/>
      <c r="B80" s="279"/>
      <c r="C80" s="279"/>
      <c r="D80" s="279"/>
      <c r="E80" s="82"/>
      <c r="F80" s="82"/>
      <c r="G80" s="279"/>
      <c r="H80" s="279"/>
      <c r="I80" s="279"/>
    </row>
    <row r="81" spans="1:9" ht="18" customHeight="1">
      <c r="A81" s="82"/>
      <c r="B81" s="82"/>
      <c r="C81" s="82"/>
      <c r="D81" s="82"/>
      <c r="E81" s="82"/>
      <c r="F81" s="82"/>
      <c r="G81" s="82"/>
      <c r="H81" s="82"/>
      <c r="I81" s="82"/>
    </row>
    <row r="82" spans="1:9" ht="18" customHeight="1">
      <c r="A82" s="281"/>
      <c r="B82" s="281"/>
      <c r="C82" s="281"/>
      <c r="D82" s="281"/>
      <c r="E82" s="281"/>
      <c r="F82" s="281"/>
      <c r="G82" s="281"/>
      <c r="H82" s="281"/>
      <c r="I82" s="281"/>
    </row>
    <row r="83" spans="1:9" ht="18" customHeight="1">
      <c r="A83" s="278"/>
      <c r="B83" s="278"/>
      <c r="C83" s="278"/>
      <c r="D83" s="278"/>
      <c r="E83" s="278"/>
      <c r="F83" s="278"/>
      <c r="G83" s="278"/>
      <c r="H83" s="278"/>
      <c r="I83" s="278"/>
    </row>
    <row r="84" spans="1:9" ht="18" customHeight="1">
      <c r="B84" s="81"/>
      <c r="C84" s="81"/>
      <c r="D84" s="81"/>
      <c r="E84" s="81"/>
      <c r="F84" s="81"/>
      <c r="G84" s="45"/>
    </row>
    <row r="85" spans="1:9" ht="18" customHeight="1">
      <c r="A85" s="278"/>
      <c r="B85" s="278"/>
      <c r="C85" s="278"/>
      <c r="D85" s="278"/>
      <c r="E85" s="278"/>
      <c r="F85" s="278"/>
      <c r="G85" s="278"/>
      <c r="H85" s="278"/>
      <c r="I85" s="278"/>
    </row>
    <row r="86" spans="1:9" ht="18" customHeight="1">
      <c r="B86" s="81"/>
      <c r="C86" s="81"/>
      <c r="D86" s="81"/>
      <c r="E86" s="81"/>
      <c r="F86" s="81"/>
      <c r="G86" s="45"/>
    </row>
    <row r="87" spans="1:9" ht="18" customHeight="1">
      <c r="B87" s="81"/>
      <c r="C87" s="81"/>
      <c r="D87" s="81"/>
      <c r="E87" s="81"/>
      <c r="F87" s="81"/>
      <c r="G87" s="45"/>
    </row>
    <row r="88" spans="1:9" ht="18" customHeight="1">
      <c r="B88" s="81"/>
      <c r="C88" s="81"/>
      <c r="D88" s="81"/>
      <c r="E88" s="81"/>
      <c r="F88" s="81"/>
      <c r="G88" s="45"/>
    </row>
    <row r="94" spans="1:9" ht="18" customHeight="1">
      <c r="B94" s="81"/>
      <c r="C94" s="81"/>
      <c r="D94" s="81"/>
      <c r="E94" s="81"/>
      <c r="F94" s="81"/>
      <c r="G94" s="45"/>
    </row>
    <row r="95" spans="1:9" ht="18" customHeight="1">
      <c r="B95" s="81"/>
      <c r="C95" s="81"/>
      <c r="D95" s="81"/>
      <c r="E95" s="81"/>
      <c r="F95" s="81"/>
      <c r="G95" s="45"/>
    </row>
    <row r="96" spans="1:9" ht="18" customHeight="1">
      <c r="A96" s="46"/>
      <c r="B96" s="279" t="s">
        <v>445</v>
      </c>
      <c r="C96" s="279"/>
      <c r="D96" s="279"/>
      <c r="E96" s="81"/>
      <c r="F96" s="81"/>
      <c r="G96" s="279" t="s">
        <v>445</v>
      </c>
      <c r="H96" s="279"/>
      <c r="I96" s="279"/>
    </row>
    <row r="97" spans="1:9" ht="18" customHeight="1">
      <c r="A97" s="46"/>
      <c r="B97" s="81"/>
      <c r="C97" s="81"/>
      <c r="D97" s="81"/>
      <c r="E97" s="81"/>
      <c r="F97" s="81"/>
      <c r="G97" s="45"/>
      <c r="H97" s="46"/>
      <c r="I97" s="46"/>
    </row>
    <row r="98" spans="1:9" ht="18" customHeight="1">
      <c r="B98" s="81"/>
      <c r="C98" s="81"/>
      <c r="D98" s="81"/>
      <c r="E98" s="81"/>
      <c r="F98" s="45"/>
      <c r="H98" s="81"/>
      <c r="I98" s="81"/>
    </row>
    <row r="99" spans="1:9" ht="18" customHeight="1">
      <c r="B99" s="279"/>
      <c r="C99" s="279"/>
      <c r="D99" s="279"/>
      <c r="E99" s="45"/>
      <c r="G99" s="279"/>
      <c r="H99" s="279"/>
      <c r="I99" s="279"/>
    </row>
    <row r="100" spans="1:9" ht="18" customHeight="1">
      <c r="B100" s="279"/>
      <c r="C100" s="279"/>
      <c r="D100" s="279"/>
      <c r="E100" s="45"/>
      <c r="G100" s="279"/>
      <c r="H100" s="279"/>
      <c r="I100" s="279"/>
    </row>
    <row r="102" spans="1:9" ht="18" customHeight="1">
      <c r="B102" s="279"/>
      <c r="C102" s="279"/>
      <c r="D102" s="279"/>
      <c r="G102" s="279"/>
      <c r="H102" s="279"/>
      <c r="I102" s="279"/>
    </row>
    <row r="103" spans="1:9" ht="18" customHeight="1">
      <c r="A103" s="81"/>
      <c r="B103" s="81"/>
      <c r="C103" s="81"/>
      <c r="D103" s="81"/>
      <c r="E103" s="81"/>
      <c r="F103" s="81"/>
      <c r="G103" s="45"/>
      <c r="H103" s="81"/>
      <c r="I103" s="81"/>
    </row>
    <row r="112" spans="1:9" ht="18" customHeight="1">
      <c r="B112" s="81"/>
      <c r="C112" s="81"/>
      <c r="D112" s="81"/>
      <c r="E112" s="81"/>
      <c r="F112" s="81"/>
      <c r="G112" s="45"/>
    </row>
    <row r="113" spans="1:9" ht="18" customHeight="1">
      <c r="B113" s="81"/>
      <c r="C113" s="81"/>
      <c r="D113" s="81"/>
      <c r="E113" s="81"/>
      <c r="F113" s="81"/>
      <c r="G113" s="45"/>
    </row>
    <row r="114" spans="1:9" ht="18" customHeight="1">
      <c r="B114" s="279" t="s">
        <v>445</v>
      </c>
      <c r="C114" s="279"/>
      <c r="D114" s="279"/>
      <c r="E114" s="81"/>
      <c r="F114" s="81"/>
      <c r="G114" s="279" t="s">
        <v>445</v>
      </c>
      <c r="H114" s="279"/>
      <c r="I114" s="279"/>
    </row>
    <row r="115" spans="1:9" ht="18" customHeight="1">
      <c r="B115" s="81"/>
      <c r="C115" s="81"/>
      <c r="D115" s="81"/>
      <c r="E115" s="81"/>
      <c r="F115" s="81"/>
      <c r="G115" s="45"/>
    </row>
    <row r="116" spans="1:9" ht="18" customHeight="1">
      <c r="A116" s="278"/>
      <c r="B116" s="278"/>
      <c r="C116" s="278"/>
      <c r="D116" s="278"/>
      <c r="E116" s="278"/>
      <c r="F116" s="278"/>
      <c r="G116" s="278"/>
      <c r="H116" s="278"/>
      <c r="I116" s="278"/>
    </row>
    <row r="117" spans="1:9" ht="18" customHeight="1">
      <c r="A117" s="82"/>
      <c r="B117" s="279"/>
      <c r="C117" s="279"/>
      <c r="D117" s="279"/>
      <c r="E117" s="45"/>
      <c r="F117" s="82"/>
      <c r="G117" s="279"/>
      <c r="H117" s="279"/>
      <c r="I117" s="279"/>
    </row>
    <row r="118" spans="1:9" ht="18" customHeight="1">
      <c r="A118" s="82"/>
      <c r="B118" s="82"/>
      <c r="C118" s="82"/>
      <c r="D118" s="82"/>
      <c r="E118" s="82"/>
      <c r="F118" s="82"/>
      <c r="G118" s="82"/>
      <c r="H118" s="82"/>
      <c r="I118" s="82"/>
    </row>
    <row r="119" spans="1:9" ht="18" customHeight="1">
      <c r="A119" s="82"/>
      <c r="B119" s="82"/>
      <c r="C119" s="82"/>
      <c r="D119" s="82"/>
      <c r="E119" s="82"/>
      <c r="F119" s="82"/>
      <c r="G119" s="82"/>
      <c r="H119" s="82"/>
      <c r="I119" s="82"/>
    </row>
    <row r="120" spans="1:9" ht="18" customHeight="1">
      <c r="A120" s="82"/>
      <c r="B120" s="279"/>
      <c r="C120" s="279"/>
      <c r="D120" s="279"/>
      <c r="E120" s="82"/>
      <c r="F120" s="82"/>
      <c r="G120" s="279"/>
      <c r="H120" s="279"/>
      <c r="I120" s="279"/>
    </row>
    <row r="121" spans="1:9" ht="18" customHeight="1">
      <c r="A121" s="82"/>
      <c r="B121" s="82"/>
      <c r="C121" s="82"/>
      <c r="D121" s="82"/>
      <c r="E121" s="82"/>
      <c r="F121" s="82"/>
      <c r="G121" s="82"/>
      <c r="H121" s="82"/>
      <c r="I121" s="82"/>
    </row>
    <row r="122" spans="1:9" ht="18" customHeight="1">
      <c r="A122" s="278"/>
      <c r="B122" s="278"/>
      <c r="C122" s="278"/>
      <c r="D122" s="278"/>
      <c r="E122" s="278"/>
      <c r="F122" s="278"/>
      <c r="G122" s="278"/>
      <c r="H122" s="278"/>
      <c r="I122" s="278"/>
    </row>
    <row r="123" spans="1:9" ht="18" customHeight="1">
      <c r="A123" s="278"/>
      <c r="B123" s="278"/>
      <c r="C123" s="278"/>
      <c r="D123" s="278"/>
      <c r="E123" s="278"/>
      <c r="F123" s="278"/>
      <c r="G123" s="278"/>
      <c r="H123" s="278"/>
      <c r="I123" s="278"/>
    </row>
    <row r="124" spans="1:9" ht="18" customHeight="1">
      <c r="A124" s="81"/>
      <c r="B124" s="81"/>
      <c r="C124" s="81"/>
      <c r="D124" s="81"/>
      <c r="E124" s="81"/>
      <c r="F124" s="81"/>
      <c r="G124" s="45"/>
      <c r="H124" s="81"/>
      <c r="I124" s="81"/>
    </row>
    <row r="125" spans="1:9" ht="18" customHeight="1">
      <c r="A125" s="278"/>
      <c r="B125" s="278"/>
      <c r="C125" s="278"/>
      <c r="D125" s="278"/>
      <c r="E125" s="278"/>
      <c r="F125" s="278"/>
      <c r="G125" s="278"/>
      <c r="H125" s="278"/>
      <c r="I125" s="278"/>
    </row>
    <row r="130" spans="1:9" ht="18" customHeight="1">
      <c r="B130" s="82"/>
      <c r="C130" s="82"/>
      <c r="D130" s="82"/>
      <c r="E130" s="82"/>
      <c r="F130" s="82"/>
      <c r="G130" s="68"/>
    </row>
    <row r="132" spans="1:9" ht="18" customHeight="1">
      <c r="B132" s="81"/>
      <c r="C132" s="81"/>
      <c r="D132" s="81"/>
      <c r="E132" s="81"/>
      <c r="F132" s="81"/>
      <c r="G132" s="45"/>
    </row>
    <row r="133" spans="1:9" ht="18" customHeight="1">
      <c r="B133" s="279" t="s">
        <v>445</v>
      </c>
      <c r="C133" s="279"/>
      <c r="D133" s="279"/>
      <c r="E133" s="81"/>
      <c r="F133" s="81"/>
      <c r="G133" s="279" t="s">
        <v>445</v>
      </c>
      <c r="H133" s="279"/>
      <c r="I133" s="279"/>
    </row>
    <row r="134" spans="1:9" ht="18" customHeight="1">
      <c r="B134" s="81"/>
      <c r="C134" s="81"/>
      <c r="D134" s="81"/>
      <c r="E134" s="81"/>
      <c r="F134" s="81"/>
      <c r="G134" s="45"/>
    </row>
    <row r="135" spans="1:9" ht="18" customHeight="1">
      <c r="B135" s="81"/>
      <c r="C135" s="81"/>
      <c r="D135" s="81"/>
      <c r="E135" s="81"/>
      <c r="F135" s="81"/>
      <c r="G135" s="45"/>
    </row>
    <row r="136" spans="1:9" ht="18" customHeight="1">
      <c r="B136" s="81"/>
      <c r="C136" s="81"/>
      <c r="D136" s="81"/>
      <c r="E136" s="81"/>
      <c r="F136" s="81"/>
      <c r="G136" s="45"/>
    </row>
    <row r="137" spans="1:9" ht="18" customHeight="1">
      <c r="B137" s="81"/>
      <c r="C137" s="81"/>
      <c r="D137" s="81"/>
      <c r="E137" s="81"/>
      <c r="F137" s="81"/>
      <c r="G137" s="45"/>
    </row>
    <row r="138" spans="1:9" ht="18" customHeight="1">
      <c r="B138" s="81"/>
      <c r="C138" s="81"/>
      <c r="D138" s="81"/>
      <c r="E138" s="81"/>
      <c r="F138" s="45"/>
      <c r="H138" s="81"/>
      <c r="I138" s="81"/>
    </row>
    <row r="139" spans="1:9" ht="18" customHeight="1">
      <c r="B139" s="279"/>
      <c r="C139" s="279"/>
      <c r="D139" s="279"/>
      <c r="E139" s="45"/>
      <c r="G139" s="279"/>
      <c r="H139" s="279"/>
      <c r="I139" s="279"/>
    </row>
    <row r="140" spans="1:9" ht="18" customHeight="1">
      <c r="B140" s="279"/>
      <c r="C140" s="279"/>
      <c r="D140" s="279"/>
      <c r="E140" s="45"/>
      <c r="G140" s="279"/>
      <c r="H140" s="279"/>
      <c r="I140" s="279"/>
    </row>
    <row r="142" spans="1:9" ht="18" customHeight="1">
      <c r="B142" s="279"/>
      <c r="C142" s="279"/>
      <c r="D142" s="279"/>
      <c r="G142" s="279"/>
      <c r="H142" s="279"/>
      <c r="I142" s="279"/>
    </row>
    <row r="144" spans="1:9" ht="18" customHeight="1">
      <c r="A144" s="82"/>
      <c r="B144" s="82"/>
      <c r="C144" s="82"/>
      <c r="D144" s="82"/>
      <c r="E144" s="82"/>
      <c r="F144" s="82"/>
      <c r="G144" s="82"/>
      <c r="H144" s="82"/>
      <c r="I144" s="82"/>
    </row>
    <row r="145" spans="1:9" ht="18" customHeight="1">
      <c r="A145" s="82"/>
      <c r="B145" s="82"/>
      <c r="C145" s="82"/>
      <c r="D145" s="82"/>
      <c r="E145" s="82"/>
      <c r="F145" s="82"/>
      <c r="G145" s="82"/>
      <c r="H145" s="82"/>
      <c r="I145" s="82"/>
    </row>
    <row r="151" spans="1:9" ht="18" customHeight="1">
      <c r="B151" s="279" t="s">
        <v>445</v>
      </c>
      <c r="C151" s="279"/>
      <c r="D151" s="279"/>
      <c r="E151" s="81"/>
      <c r="F151" s="81"/>
      <c r="G151" s="279" t="s">
        <v>445</v>
      </c>
      <c r="H151" s="279"/>
      <c r="I151" s="279"/>
    </row>
    <row r="152" spans="1:9" ht="18" customHeight="1">
      <c r="B152" s="81"/>
      <c r="C152" s="81"/>
      <c r="D152" s="81"/>
      <c r="E152" s="81"/>
      <c r="F152" s="81"/>
      <c r="G152" s="45"/>
    </row>
    <row r="153" spans="1:9" ht="18" customHeight="1">
      <c r="A153" s="278"/>
      <c r="B153" s="278"/>
      <c r="C153" s="278"/>
      <c r="D153" s="278"/>
      <c r="E153" s="278"/>
      <c r="F153" s="278"/>
      <c r="G153" s="278"/>
      <c r="H153" s="278"/>
      <c r="I153" s="278"/>
    </row>
    <row r="154" spans="1:9" ht="18" customHeight="1">
      <c r="B154" s="81"/>
      <c r="C154" s="81"/>
      <c r="D154" s="81"/>
      <c r="E154" s="81"/>
      <c r="F154" s="81"/>
      <c r="G154" s="45"/>
    </row>
    <row r="155" spans="1:9" ht="18" customHeight="1">
      <c r="B155" s="81"/>
      <c r="C155" s="81"/>
      <c r="D155" s="81"/>
      <c r="E155" s="81"/>
      <c r="F155" s="81"/>
      <c r="G155" s="45"/>
    </row>
    <row r="156" spans="1:9" ht="18" customHeight="1">
      <c r="A156" s="82"/>
      <c r="B156" s="82"/>
      <c r="C156" s="82"/>
      <c r="D156" s="82"/>
      <c r="E156" s="82"/>
      <c r="F156" s="82"/>
      <c r="G156" s="82"/>
      <c r="H156" s="82"/>
      <c r="I156" s="82"/>
    </row>
    <row r="157" spans="1:9" ht="18" customHeight="1">
      <c r="A157" s="82"/>
      <c r="B157" s="279"/>
      <c r="C157" s="279"/>
      <c r="D157" s="279"/>
      <c r="E157" s="45"/>
      <c r="F157" s="82"/>
      <c r="G157" s="279"/>
      <c r="H157" s="279"/>
      <c r="I157" s="279"/>
    </row>
    <row r="158" spans="1:9" ht="18" customHeight="1">
      <c r="B158" s="279"/>
      <c r="C158" s="279"/>
      <c r="D158" s="279"/>
      <c r="E158" s="45"/>
      <c r="G158" s="279"/>
      <c r="H158" s="279"/>
      <c r="I158" s="279"/>
    </row>
    <row r="159" spans="1:9" ht="18" customHeight="1">
      <c r="A159" s="82"/>
      <c r="B159" s="82"/>
      <c r="C159" s="82"/>
      <c r="D159" s="82"/>
      <c r="E159" s="82"/>
      <c r="F159" s="82"/>
      <c r="G159" s="82"/>
      <c r="H159" s="82"/>
      <c r="I159" s="82"/>
    </row>
    <row r="160" spans="1:9" ht="18" customHeight="1">
      <c r="A160" s="82"/>
      <c r="B160" s="279"/>
      <c r="C160" s="279"/>
      <c r="D160" s="279"/>
      <c r="E160" s="82"/>
      <c r="F160" s="82"/>
      <c r="G160" s="279"/>
      <c r="H160" s="279"/>
      <c r="I160" s="279"/>
    </row>
    <row r="161" spans="1:9" ht="18" customHeight="1">
      <c r="A161" s="82"/>
      <c r="B161" s="82"/>
      <c r="C161" s="82"/>
      <c r="D161" s="82"/>
      <c r="E161" s="82"/>
      <c r="F161" s="82"/>
      <c r="G161" s="82"/>
      <c r="H161" s="82"/>
      <c r="I161" s="82"/>
    </row>
    <row r="162" spans="1:9" ht="18" customHeight="1">
      <c r="A162" s="278"/>
      <c r="B162" s="278"/>
      <c r="C162" s="278"/>
      <c r="D162" s="278"/>
      <c r="E162" s="278"/>
      <c r="F162" s="278"/>
      <c r="G162" s="278"/>
      <c r="H162" s="278"/>
      <c r="I162" s="278"/>
    </row>
    <row r="163" spans="1:9" ht="18" customHeight="1">
      <c r="A163" s="278"/>
      <c r="B163" s="278"/>
      <c r="C163" s="278"/>
      <c r="D163" s="278"/>
      <c r="E163" s="278"/>
      <c r="F163" s="278"/>
      <c r="G163" s="278"/>
      <c r="H163" s="278"/>
      <c r="I163" s="278"/>
    </row>
    <row r="165" spans="1:9" ht="18" customHeight="1">
      <c r="A165" s="278"/>
      <c r="B165" s="278"/>
      <c r="C165" s="278"/>
      <c r="D165" s="278"/>
      <c r="E165" s="278"/>
      <c r="F165" s="278"/>
      <c r="G165" s="278"/>
      <c r="H165" s="278"/>
      <c r="I165" s="278"/>
    </row>
    <row r="169" spans="1:9" ht="18" customHeight="1">
      <c r="B169" s="82"/>
      <c r="C169" s="82"/>
      <c r="D169" s="82"/>
      <c r="E169" s="82"/>
      <c r="F169" s="82"/>
      <c r="G169" s="68"/>
    </row>
    <row r="170" spans="1:9" ht="18" customHeight="1">
      <c r="B170" s="279" t="s">
        <v>445</v>
      </c>
      <c r="C170" s="279"/>
      <c r="D170" s="279"/>
      <c r="E170" s="81"/>
      <c r="F170" s="81"/>
      <c r="G170" s="279" t="s">
        <v>445</v>
      </c>
      <c r="H170" s="279"/>
      <c r="I170" s="279"/>
    </row>
    <row r="171" spans="1:9" ht="18" customHeight="1">
      <c r="B171" s="81"/>
      <c r="C171" s="81"/>
      <c r="D171" s="81"/>
      <c r="E171" s="81"/>
      <c r="F171" s="81"/>
      <c r="G171" s="45"/>
    </row>
    <row r="172" spans="1:9" ht="18" customHeight="1">
      <c r="B172" s="81"/>
      <c r="C172" s="81"/>
      <c r="D172" s="81"/>
      <c r="E172" s="81"/>
      <c r="F172" s="81"/>
      <c r="G172" s="45"/>
    </row>
    <row r="176" spans="1:9" ht="18" customHeight="1">
      <c r="B176" s="81"/>
      <c r="C176" s="81"/>
      <c r="D176" s="81"/>
      <c r="E176" s="81"/>
      <c r="F176" s="81"/>
      <c r="G176" s="45"/>
    </row>
    <row r="177" spans="1:9" ht="18" customHeight="1">
      <c r="B177" s="81"/>
      <c r="C177" s="81"/>
      <c r="D177" s="81"/>
      <c r="E177" s="81"/>
      <c r="F177" s="81"/>
      <c r="G177" s="45"/>
    </row>
    <row r="178" spans="1:9" ht="18" customHeight="1">
      <c r="B178" s="81"/>
      <c r="C178" s="81"/>
      <c r="D178" s="81"/>
      <c r="E178" s="81"/>
      <c r="F178" s="45"/>
      <c r="H178" s="81"/>
      <c r="I178" s="81"/>
    </row>
    <row r="179" spans="1:9" ht="18" customHeight="1">
      <c r="B179" s="279"/>
      <c r="C179" s="279"/>
      <c r="D179" s="279"/>
      <c r="E179" s="45"/>
      <c r="G179" s="279"/>
      <c r="H179" s="279"/>
      <c r="I179" s="279"/>
    </row>
    <row r="180" spans="1:9" ht="18" customHeight="1">
      <c r="B180" s="279"/>
      <c r="C180" s="279"/>
      <c r="D180" s="279"/>
      <c r="E180" s="45"/>
      <c r="G180" s="279"/>
      <c r="H180" s="279"/>
      <c r="I180" s="279"/>
    </row>
    <row r="182" spans="1:9" ht="18" customHeight="1">
      <c r="B182" s="279"/>
      <c r="C182" s="279"/>
      <c r="D182" s="279"/>
      <c r="G182" s="279"/>
      <c r="H182" s="279"/>
      <c r="I182" s="279"/>
    </row>
    <row r="188" spans="1:9" ht="18" customHeight="1">
      <c r="B188" s="279" t="s">
        <v>445</v>
      </c>
      <c r="C188" s="279"/>
      <c r="D188" s="279"/>
      <c r="E188" s="81"/>
      <c r="F188" s="81"/>
      <c r="G188" s="279" t="s">
        <v>445</v>
      </c>
      <c r="H188" s="279"/>
      <c r="I188" s="279"/>
    </row>
    <row r="189" spans="1:9" ht="18" customHeight="1">
      <c r="B189" s="81"/>
      <c r="C189" s="81"/>
      <c r="D189" s="81"/>
      <c r="E189" s="81"/>
      <c r="F189" s="81"/>
      <c r="G189" s="45"/>
    </row>
    <row r="190" spans="1:9" ht="18" customHeight="1">
      <c r="A190" s="278"/>
      <c r="B190" s="278"/>
      <c r="C190" s="278"/>
      <c r="D190" s="278"/>
      <c r="E190" s="278"/>
      <c r="F190" s="278"/>
      <c r="G190" s="278"/>
      <c r="H190" s="278"/>
      <c r="I190" s="278"/>
    </row>
    <row r="194" spans="1:9" ht="18" customHeight="1">
      <c r="A194" s="46"/>
      <c r="B194" s="81"/>
      <c r="C194" s="81"/>
      <c r="D194" s="81"/>
      <c r="E194" s="81"/>
      <c r="F194" s="81"/>
      <c r="G194" s="45"/>
      <c r="H194" s="46"/>
      <c r="I194" s="46"/>
    </row>
    <row r="195" spans="1:9" ht="18" customHeight="1">
      <c r="A195" s="46"/>
      <c r="B195" s="81"/>
      <c r="C195" s="81"/>
      <c r="D195" s="81"/>
      <c r="E195" s="81"/>
      <c r="F195" s="81"/>
      <c r="G195" s="45"/>
      <c r="H195" s="46"/>
      <c r="I195" s="46"/>
    </row>
    <row r="196" spans="1:9" ht="18" customHeight="1">
      <c r="B196" s="81"/>
      <c r="C196" s="81"/>
      <c r="D196" s="81"/>
      <c r="E196" s="81"/>
      <c r="F196" s="45"/>
      <c r="H196" s="81"/>
      <c r="I196" s="81"/>
    </row>
    <row r="197" spans="1:9" ht="18" customHeight="1">
      <c r="B197" s="279"/>
      <c r="C197" s="279"/>
      <c r="D197" s="279"/>
      <c r="E197" s="45"/>
      <c r="G197" s="279"/>
      <c r="H197" s="279"/>
      <c r="I197" s="279"/>
    </row>
    <row r="198" spans="1:9" ht="18" customHeight="1">
      <c r="B198" s="279"/>
      <c r="C198" s="279"/>
      <c r="D198" s="279"/>
      <c r="E198" s="45"/>
      <c r="G198" s="279"/>
      <c r="H198" s="279"/>
      <c r="I198" s="279"/>
    </row>
    <row r="199" spans="1:9" ht="18" customHeight="1">
      <c r="A199" s="82"/>
      <c r="B199" s="82"/>
      <c r="C199" s="82"/>
      <c r="D199" s="82"/>
      <c r="E199" s="82"/>
      <c r="F199" s="82"/>
      <c r="G199" s="82"/>
      <c r="H199" s="82"/>
      <c r="I199" s="82"/>
    </row>
    <row r="200" spans="1:9" ht="18" customHeight="1">
      <c r="A200" s="82"/>
      <c r="B200" s="279"/>
      <c r="C200" s="279"/>
      <c r="D200" s="279"/>
      <c r="E200" s="82"/>
      <c r="F200" s="82"/>
      <c r="G200" s="279"/>
      <c r="H200" s="279"/>
      <c r="I200" s="279"/>
    </row>
    <row r="201" spans="1:9" ht="18" customHeight="1">
      <c r="A201" s="82"/>
      <c r="B201" s="82"/>
      <c r="C201" s="82"/>
      <c r="D201" s="82"/>
      <c r="E201" s="82"/>
      <c r="F201" s="82"/>
      <c r="G201" s="82"/>
      <c r="H201" s="82"/>
      <c r="I201" s="82"/>
    </row>
    <row r="202" spans="1:9" ht="18" customHeight="1">
      <c r="A202" s="278"/>
      <c r="B202" s="278"/>
      <c r="C202" s="278"/>
      <c r="D202" s="278"/>
      <c r="E202" s="278"/>
      <c r="F202" s="278"/>
      <c r="G202" s="278"/>
      <c r="H202" s="278"/>
      <c r="I202" s="278"/>
    </row>
    <row r="203" spans="1:9" ht="18" customHeight="1">
      <c r="A203" s="278"/>
      <c r="B203" s="278"/>
      <c r="C203" s="278"/>
      <c r="D203" s="278"/>
      <c r="E203" s="278"/>
      <c r="F203" s="278"/>
      <c r="G203" s="278"/>
      <c r="H203" s="278"/>
      <c r="I203" s="278"/>
    </row>
    <row r="205" spans="1:9" ht="18" customHeight="1">
      <c r="A205" s="278"/>
      <c r="B205" s="278"/>
      <c r="C205" s="278"/>
      <c r="D205" s="278"/>
      <c r="E205" s="278"/>
      <c r="F205" s="278"/>
      <c r="G205" s="278"/>
      <c r="H205" s="278"/>
      <c r="I205" s="278"/>
    </row>
    <row r="207" spans="1:9" ht="18" customHeight="1">
      <c r="B207" s="279" t="s">
        <v>445</v>
      </c>
      <c r="C207" s="279"/>
      <c r="D207" s="279"/>
      <c r="G207" s="279" t="s">
        <v>445</v>
      </c>
      <c r="H207" s="279"/>
      <c r="I207" s="279"/>
    </row>
    <row r="219" spans="2:9" ht="18" customHeight="1">
      <c r="B219" s="279"/>
      <c r="C219" s="279"/>
      <c r="D219" s="279"/>
      <c r="E219" s="45"/>
      <c r="F219" s="81"/>
      <c r="G219" s="279"/>
      <c r="H219" s="279"/>
      <c r="I219" s="279"/>
    </row>
    <row r="220" spans="2:9" ht="18" customHeight="1">
      <c r="B220" s="279"/>
      <c r="C220" s="279"/>
      <c r="D220" s="279"/>
      <c r="E220" s="45"/>
      <c r="F220" s="81"/>
      <c r="G220" s="279"/>
      <c r="H220" s="279"/>
      <c r="I220" s="279"/>
    </row>
    <row r="222" spans="2:9" ht="18" customHeight="1">
      <c r="B222" s="279"/>
      <c r="C222" s="279"/>
      <c r="D222" s="279"/>
      <c r="G222" s="279"/>
      <c r="H222" s="279"/>
      <c r="I222" s="279"/>
    </row>
    <row r="225" spans="1:9" ht="18" customHeight="1">
      <c r="B225" s="279" t="s">
        <v>445</v>
      </c>
      <c r="C225" s="279"/>
      <c r="D225" s="279"/>
      <c r="G225" s="279" t="s">
        <v>445</v>
      </c>
      <c r="H225" s="279"/>
      <c r="I225" s="279"/>
    </row>
    <row r="227" spans="1:9" ht="18" customHeight="1">
      <c r="A227" s="278" t="s">
        <v>446</v>
      </c>
      <c r="B227" s="278"/>
      <c r="C227" s="278"/>
      <c r="D227" s="278"/>
      <c r="E227" s="278"/>
      <c r="F227" s="278"/>
      <c r="G227" s="278"/>
      <c r="H227" s="278"/>
      <c r="I227" s="278"/>
    </row>
    <row r="237" spans="1:9" ht="18" customHeight="1">
      <c r="B237" s="279"/>
      <c r="C237" s="279"/>
      <c r="D237" s="279"/>
      <c r="E237" s="45"/>
      <c r="G237" s="279"/>
      <c r="H237" s="279"/>
      <c r="I237" s="279"/>
    </row>
    <row r="238" spans="1:9" ht="18" customHeight="1">
      <c r="B238" s="279"/>
      <c r="C238" s="279"/>
      <c r="D238" s="279"/>
      <c r="E238" s="45"/>
      <c r="F238" s="81"/>
      <c r="G238" s="279"/>
      <c r="H238" s="279"/>
      <c r="I238" s="279"/>
    </row>
    <row r="239" spans="1:9" ht="18" customHeight="1">
      <c r="B239" s="82"/>
      <c r="C239" s="82"/>
      <c r="D239" s="82"/>
      <c r="E239" s="82"/>
      <c r="F239" s="82"/>
      <c r="G239" s="82"/>
      <c r="H239" s="82"/>
      <c r="I239" s="82"/>
    </row>
    <row r="240" spans="1:9" ht="18" customHeight="1">
      <c r="B240" s="279"/>
      <c r="C240" s="279"/>
      <c r="D240" s="279"/>
      <c r="E240" s="82"/>
      <c r="F240" s="82"/>
      <c r="G240" s="279"/>
      <c r="H240" s="279"/>
      <c r="I240" s="279"/>
    </row>
    <row r="242" spans="1:9" ht="18" customHeight="1">
      <c r="A242" s="278"/>
      <c r="B242" s="278"/>
      <c r="C242" s="278"/>
      <c r="D242" s="278"/>
      <c r="E242" s="278"/>
      <c r="F242" s="278"/>
      <c r="G242" s="278"/>
      <c r="H242" s="278"/>
      <c r="I242" s="278"/>
    </row>
    <row r="243" spans="1:9" ht="18" customHeight="1">
      <c r="A243" s="278"/>
      <c r="B243" s="278"/>
      <c r="C243" s="278"/>
      <c r="D243" s="278"/>
      <c r="E243" s="278"/>
      <c r="F243" s="278"/>
      <c r="G243" s="278"/>
      <c r="H243" s="278"/>
      <c r="I243" s="278"/>
    </row>
    <row r="244" spans="1:9" ht="18" customHeight="1">
      <c r="B244" s="279" t="s">
        <v>446</v>
      </c>
      <c r="C244" s="279"/>
      <c r="D244" s="279"/>
      <c r="G244" s="279" t="s">
        <v>446</v>
      </c>
      <c r="H244" s="279"/>
      <c r="I244" s="279"/>
    </row>
    <row r="245" spans="1:9" ht="18" customHeight="1">
      <c r="A245" s="278"/>
      <c r="B245" s="278"/>
      <c r="C245" s="278"/>
      <c r="D245" s="278"/>
      <c r="E245" s="278"/>
      <c r="F245" s="278"/>
      <c r="G245" s="278"/>
      <c r="H245" s="278"/>
      <c r="I245" s="278"/>
    </row>
    <row r="259" spans="1:9" ht="18" customHeight="1">
      <c r="B259" s="279"/>
      <c r="C259" s="279"/>
      <c r="D259" s="279"/>
      <c r="E259" s="45"/>
      <c r="G259" s="279"/>
      <c r="H259" s="279"/>
      <c r="I259" s="279"/>
    </row>
    <row r="260" spans="1:9" ht="18" customHeight="1">
      <c r="B260" s="279"/>
      <c r="C260" s="279"/>
      <c r="D260" s="279"/>
      <c r="E260" s="45"/>
    </row>
    <row r="262" spans="1:9" ht="18" customHeight="1">
      <c r="B262" s="279" t="s">
        <v>446</v>
      </c>
      <c r="C262" s="279"/>
      <c r="D262" s="279"/>
      <c r="G262" s="279" t="s">
        <v>446</v>
      </c>
      <c r="H262" s="279"/>
      <c r="I262" s="279"/>
    </row>
    <row r="264" spans="1:9" ht="18" customHeight="1">
      <c r="A264" s="278"/>
      <c r="B264" s="278"/>
      <c r="C264" s="278"/>
      <c r="D264" s="278"/>
      <c r="E264" s="278"/>
      <c r="F264" s="278"/>
      <c r="G264" s="278"/>
      <c r="H264" s="278"/>
      <c r="I264" s="278"/>
    </row>
    <row r="277" spans="1:9" ht="18" customHeight="1">
      <c r="B277" s="279"/>
      <c r="C277" s="279"/>
      <c r="D277" s="279"/>
      <c r="E277" s="45"/>
    </row>
    <row r="279" spans="1:9" ht="18" customHeight="1">
      <c r="A279" s="82"/>
      <c r="B279" s="82"/>
      <c r="C279" s="82"/>
      <c r="D279" s="82"/>
      <c r="E279" s="82"/>
      <c r="F279" s="82"/>
      <c r="G279" s="82"/>
      <c r="H279" s="82"/>
      <c r="I279" s="82"/>
    </row>
    <row r="280" spans="1:9" ht="18" customHeight="1">
      <c r="A280" s="82"/>
      <c r="B280" s="279"/>
      <c r="C280" s="279"/>
      <c r="D280" s="279"/>
      <c r="E280" s="82"/>
      <c r="F280" s="82"/>
      <c r="G280" s="279"/>
      <c r="H280" s="279"/>
      <c r="I280" s="279"/>
    </row>
    <row r="281" spans="1:9" ht="18" customHeight="1">
      <c r="A281" s="82"/>
      <c r="B281" s="279" t="s">
        <v>446</v>
      </c>
      <c r="C281" s="279"/>
      <c r="D281" s="279"/>
      <c r="E281" s="82"/>
      <c r="F281" s="82"/>
      <c r="G281" s="279" t="s">
        <v>446</v>
      </c>
      <c r="H281" s="279"/>
      <c r="I281" s="279"/>
    </row>
    <row r="282" spans="1:9" ht="18" customHeight="1">
      <c r="A282" s="278"/>
      <c r="B282" s="278"/>
      <c r="C282" s="278"/>
      <c r="D282" s="278"/>
      <c r="E282" s="278"/>
      <c r="F282" s="278"/>
      <c r="G282" s="278"/>
      <c r="H282" s="278"/>
      <c r="I282" s="278"/>
    </row>
    <row r="283" spans="1:9" ht="18" customHeight="1">
      <c r="A283" s="278"/>
      <c r="B283" s="278"/>
      <c r="C283" s="278"/>
      <c r="D283" s="278"/>
      <c r="E283" s="278"/>
      <c r="F283" s="278"/>
      <c r="G283" s="278"/>
      <c r="H283" s="278"/>
      <c r="I283" s="278"/>
    </row>
    <row r="284" spans="1:9" ht="18" customHeight="1">
      <c r="B284" s="81"/>
      <c r="C284" s="81"/>
      <c r="D284" s="81"/>
      <c r="E284" s="81"/>
      <c r="F284" s="81"/>
      <c r="G284" s="45"/>
    </row>
    <row r="285" spans="1:9" ht="18" customHeight="1">
      <c r="A285" s="278"/>
      <c r="B285" s="278"/>
      <c r="C285" s="278"/>
      <c r="D285" s="278"/>
      <c r="E285" s="278"/>
      <c r="F285" s="278"/>
      <c r="G285" s="278"/>
      <c r="H285" s="278"/>
      <c r="I285" s="278"/>
    </row>
    <row r="299" spans="1:9" ht="18" customHeight="1">
      <c r="B299" s="279" t="s">
        <v>446</v>
      </c>
      <c r="C299" s="279"/>
      <c r="D299" s="279"/>
      <c r="E299" s="45"/>
      <c r="G299" s="279"/>
      <c r="H299" s="279"/>
      <c r="I299" s="279"/>
    </row>
    <row r="300" spans="1:9" ht="18" customHeight="1">
      <c r="B300" s="279"/>
      <c r="C300" s="279"/>
      <c r="D300" s="279"/>
      <c r="E300" s="45"/>
      <c r="G300" s="279"/>
      <c r="H300" s="279"/>
      <c r="I300" s="279"/>
    </row>
    <row r="301" spans="1:9" ht="18" customHeight="1">
      <c r="A301" s="278" t="s">
        <v>447</v>
      </c>
      <c r="B301" s="278"/>
      <c r="C301" s="278"/>
      <c r="D301" s="278"/>
      <c r="E301" s="278"/>
      <c r="F301" s="278"/>
      <c r="G301" s="278"/>
      <c r="H301" s="278"/>
      <c r="I301" s="278"/>
    </row>
    <row r="302" spans="1:9" ht="18" customHeight="1">
      <c r="B302" s="279"/>
      <c r="C302" s="279"/>
      <c r="D302" s="279"/>
      <c r="G302" s="279"/>
      <c r="H302" s="279"/>
      <c r="I302" s="279"/>
    </row>
    <row r="316" spans="2:9" ht="18" customHeight="1">
      <c r="E316" s="279"/>
      <c r="F316" s="279"/>
      <c r="G316" s="279"/>
    </row>
    <row r="317" spans="2:9" ht="18" customHeight="1">
      <c r="B317" s="279"/>
      <c r="C317" s="279"/>
      <c r="D317" s="279"/>
      <c r="E317" s="45"/>
      <c r="G317" s="279"/>
      <c r="H317" s="279"/>
      <c r="I317" s="279"/>
    </row>
    <row r="318" spans="2:9" ht="18" customHeight="1">
      <c r="B318" s="279" t="s">
        <v>447</v>
      </c>
      <c r="C318" s="279"/>
      <c r="D318" s="279"/>
      <c r="E318" s="45"/>
      <c r="G318" s="279" t="s">
        <v>447</v>
      </c>
      <c r="H318" s="279"/>
      <c r="I318" s="279"/>
    </row>
    <row r="319" spans="2:9" ht="18" customHeight="1">
      <c r="B319" s="82"/>
      <c r="C319" s="82"/>
      <c r="D319" s="82"/>
      <c r="E319" s="82"/>
      <c r="F319" s="82"/>
      <c r="G319" s="82"/>
      <c r="H319" s="82"/>
      <c r="I319" s="82"/>
    </row>
    <row r="320" spans="2:9" ht="18" customHeight="1">
      <c r="B320" s="279"/>
      <c r="C320" s="279"/>
      <c r="D320" s="279"/>
      <c r="E320" s="82"/>
      <c r="F320" s="82"/>
      <c r="G320" s="279"/>
      <c r="H320" s="279"/>
      <c r="I320" s="279"/>
    </row>
    <row r="322" spans="1:9" ht="18" customHeight="1">
      <c r="A322" s="278"/>
      <c r="B322" s="278"/>
      <c r="C322" s="278"/>
      <c r="D322" s="278"/>
      <c r="E322" s="278"/>
      <c r="F322" s="278"/>
      <c r="G322" s="278"/>
      <c r="H322" s="278"/>
      <c r="I322" s="278"/>
    </row>
    <row r="323" spans="1:9" ht="18" customHeight="1">
      <c r="A323" s="278"/>
      <c r="B323" s="278"/>
      <c r="C323" s="278"/>
      <c r="D323" s="278"/>
      <c r="E323" s="278"/>
      <c r="F323" s="278"/>
      <c r="G323" s="278"/>
      <c r="H323" s="278"/>
      <c r="I323" s="278"/>
    </row>
    <row r="325" spans="1:9" ht="18" customHeight="1">
      <c r="A325" s="278"/>
      <c r="B325" s="278"/>
      <c r="C325" s="278"/>
      <c r="D325" s="278"/>
      <c r="E325" s="278"/>
      <c r="F325" s="278"/>
      <c r="G325" s="278"/>
      <c r="H325" s="278"/>
      <c r="I325" s="278"/>
    </row>
    <row r="336" spans="1:9" ht="18" customHeight="1">
      <c r="B336" s="279" t="s">
        <v>447</v>
      </c>
      <c r="C336" s="279"/>
      <c r="D336" s="279"/>
      <c r="G336" s="279" t="s">
        <v>447</v>
      </c>
      <c r="H336" s="279"/>
      <c r="I336" s="279"/>
    </row>
    <row r="338" spans="1:9" ht="18" customHeight="1">
      <c r="A338" s="278"/>
      <c r="B338" s="278"/>
      <c r="C338" s="278"/>
      <c r="D338" s="278"/>
      <c r="E338" s="278"/>
      <c r="F338" s="278"/>
      <c r="G338" s="278"/>
      <c r="H338" s="278"/>
      <c r="I338" s="278"/>
    </row>
    <row r="339" spans="1:9" ht="18" customHeight="1">
      <c r="B339" s="279"/>
      <c r="C339" s="279"/>
      <c r="D339" s="279"/>
      <c r="E339" s="45"/>
      <c r="G339" s="279"/>
      <c r="H339" s="279"/>
      <c r="I339" s="279"/>
    </row>
    <row r="340" spans="1:9" ht="18" customHeight="1">
      <c r="B340" s="279"/>
      <c r="C340" s="279"/>
      <c r="D340" s="279"/>
      <c r="E340" s="45"/>
      <c r="G340" s="279"/>
      <c r="H340" s="279"/>
      <c r="I340" s="279"/>
    </row>
    <row r="342" spans="1:9" ht="18" customHeight="1">
      <c r="B342" s="279"/>
      <c r="C342" s="279"/>
      <c r="D342" s="279"/>
      <c r="G342" s="279"/>
      <c r="H342" s="279"/>
      <c r="I342" s="279"/>
    </row>
    <row r="355" spans="1:9" ht="18" customHeight="1">
      <c r="B355" s="279" t="s">
        <v>447</v>
      </c>
      <c r="C355" s="279"/>
      <c r="D355" s="279"/>
      <c r="G355" s="279" t="s">
        <v>447</v>
      </c>
      <c r="H355" s="279"/>
      <c r="I355" s="279"/>
    </row>
    <row r="357" spans="1:9" ht="18" customHeight="1">
      <c r="B357" s="279"/>
      <c r="C357" s="279"/>
      <c r="D357" s="279"/>
      <c r="E357" s="45"/>
      <c r="G357" s="279"/>
      <c r="H357" s="279"/>
      <c r="I357" s="279"/>
    </row>
    <row r="358" spans="1:9" ht="18" customHeight="1">
      <c r="B358" s="279"/>
      <c r="C358" s="279"/>
      <c r="D358" s="279"/>
      <c r="E358" s="45"/>
      <c r="G358" s="279"/>
      <c r="H358" s="279"/>
      <c r="I358" s="279"/>
    </row>
    <row r="359" spans="1:9" ht="18" customHeight="1">
      <c r="A359" s="82"/>
      <c r="B359" s="82"/>
      <c r="C359" s="82"/>
      <c r="D359" s="82"/>
      <c r="E359" s="82"/>
      <c r="F359" s="82"/>
      <c r="G359" s="82"/>
      <c r="H359" s="82"/>
      <c r="I359" s="82"/>
    </row>
    <row r="360" spans="1:9" ht="18" customHeight="1">
      <c r="A360" s="82"/>
      <c r="B360" s="279"/>
      <c r="C360" s="279"/>
      <c r="D360" s="279"/>
      <c r="E360" s="82"/>
      <c r="F360" s="82"/>
      <c r="G360" s="279"/>
      <c r="H360" s="279"/>
      <c r="I360" s="279"/>
    </row>
    <row r="361" spans="1:9" ht="18" customHeight="1">
      <c r="A361" s="82"/>
      <c r="B361" s="82"/>
      <c r="C361" s="82"/>
      <c r="D361" s="82"/>
      <c r="E361" s="82"/>
      <c r="F361" s="82"/>
      <c r="G361" s="82"/>
      <c r="H361" s="82"/>
      <c r="I361" s="82"/>
    </row>
    <row r="362" spans="1:9" ht="18" customHeight="1">
      <c r="A362" s="278"/>
      <c r="B362" s="278"/>
      <c r="C362" s="278"/>
      <c r="D362" s="278"/>
      <c r="E362" s="278"/>
      <c r="F362" s="278"/>
      <c r="G362" s="278"/>
      <c r="H362" s="278"/>
      <c r="I362" s="278"/>
    </row>
    <row r="363" spans="1:9" ht="18" customHeight="1">
      <c r="A363" s="278"/>
      <c r="B363" s="278"/>
      <c r="C363" s="278"/>
      <c r="D363" s="278"/>
      <c r="E363" s="278"/>
      <c r="F363" s="278"/>
      <c r="G363" s="278"/>
      <c r="H363" s="278"/>
      <c r="I363" s="278"/>
    </row>
    <row r="364" spans="1:9" ht="18" customHeight="1">
      <c r="B364" s="81"/>
      <c r="C364" s="81"/>
      <c r="D364" s="81"/>
      <c r="E364" s="81"/>
      <c r="F364" s="81"/>
      <c r="G364" s="45"/>
    </row>
    <row r="365" spans="1:9" ht="18" customHeight="1">
      <c r="A365" s="278"/>
      <c r="B365" s="278"/>
      <c r="C365" s="278"/>
      <c r="D365" s="278"/>
      <c r="E365" s="278"/>
      <c r="F365" s="278"/>
      <c r="G365" s="278"/>
      <c r="H365" s="278"/>
      <c r="I365" s="278"/>
    </row>
    <row r="373" spans="1:9" ht="18" customHeight="1">
      <c r="B373" s="279" t="s">
        <v>447</v>
      </c>
      <c r="C373" s="279"/>
      <c r="D373" s="279"/>
      <c r="G373" s="279" t="s">
        <v>447</v>
      </c>
      <c r="H373" s="279"/>
      <c r="I373" s="279"/>
    </row>
    <row r="375" spans="1:9" ht="18" customHeight="1">
      <c r="A375" s="278"/>
      <c r="B375" s="278"/>
      <c r="C375" s="278"/>
      <c r="D375" s="278"/>
      <c r="E375" s="278"/>
      <c r="F375" s="278"/>
      <c r="G375" s="278"/>
      <c r="H375" s="278"/>
      <c r="I375" s="278"/>
    </row>
    <row r="379" spans="1:9" ht="18" customHeight="1">
      <c r="B379" s="279"/>
      <c r="C379" s="279"/>
      <c r="D379" s="279"/>
      <c r="E379" s="45"/>
      <c r="G379" s="279"/>
      <c r="H379" s="279"/>
      <c r="I379" s="279"/>
    </row>
    <row r="380" spans="1:9" ht="18" customHeight="1">
      <c r="B380" s="279"/>
      <c r="C380" s="279"/>
      <c r="D380" s="279"/>
      <c r="E380" s="45"/>
      <c r="F380" s="81"/>
      <c r="G380" s="279"/>
      <c r="H380" s="279"/>
      <c r="I380" s="279"/>
    </row>
    <row r="382" spans="1:9" ht="18" customHeight="1">
      <c r="B382" s="279"/>
      <c r="C382" s="279"/>
      <c r="D382" s="279"/>
      <c r="E382" s="81"/>
      <c r="F382" s="81"/>
      <c r="G382" s="279"/>
      <c r="H382" s="279"/>
      <c r="I382" s="279"/>
    </row>
    <row r="392" spans="2:9" ht="18" customHeight="1">
      <c r="B392" s="279" t="s">
        <v>447</v>
      </c>
      <c r="C392" s="279"/>
      <c r="D392" s="279"/>
      <c r="G392" s="279" t="s">
        <v>447</v>
      </c>
      <c r="H392" s="279"/>
      <c r="I392" s="279"/>
    </row>
    <row r="398" spans="2:9" ht="18" customHeight="1">
      <c r="B398" s="279"/>
      <c r="C398" s="279"/>
      <c r="D398" s="279"/>
      <c r="E398" s="45"/>
      <c r="G398" s="279"/>
      <c r="H398" s="279"/>
      <c r="I398" s="279"/>
    </row>
    <row r="399" spans="2:9" ht="18" customHeight="1">
      <c r="B399" s="82"/>
      <c r="C399" s="82"/>
      <c r="D399" s="82"/>
      <c r="E399" s="82"/>
      <c r="F399" s="82"/>
      <c r="G399" s="82"/>
      <c r="H399" s="82"/>
      <c r="I399" s="82"/>
    </row>
    <row r="400" spans="2:9" ht="18" customHeight="1">
      <c r="B400" s="279"/>
      <c r="C400" s="279"/>
      <c r="D400" s="279"/>
      <c r="E400" s="82"/>
      <c r="F400" s="82"/>
      <c r="G400" s="279"/>
      <c r="H400" s="279"/>
      <c r="I400" s="279"/>
    </row>
    <row r="402" spans="1:9" ht="18" customHeight="1">
      <c r="A402" s="278"/>
      <c r="B402" s="278"/>
      <c r="C402" s="278"/>
      <c r="D402" s="278"/>
      <c r="E402" s="278"/>
      <c r="F402" s="278"/>
      <c r="G402" s="278"/>
      <c r="H402" s="278"/>
      <c r="I402" s="278"/>
    </row>
    <row r="403" spans="1:9" ht="18" customHeight="1">
      <c r="A403" s="278"/>
      <c r="B403" s="278"/>
      <c r="C403" s="278"/>
      <c r="D403" s="278"/>
      <c r="E403" s="278"/>
      <c r="F403" s="278"/>
      <c r="G403" s="278"/>
      <c r="H403" s="278"/>
      <c r="I403" s="278"/>
    </row>
    <row r="405" spans="1:9" ht="18" customHeight="1">
      <c r="A405" s="278"/>
      <c r="B405" s="278"/>
      <c r="C405" s="278"/>
      <c r="D405" s="278"/>
      <c r="E405" s="278"/>
      <c r="F405" s="278"/>
      <c r="G405" s="278"/>
      <c r="H405" s="278"/>
      <c r="I405" s="278"/>
    </row>
    <row r="410" spans="1:9" ht="18" customHeight="1">
      <c r="B410" s="279"/>
      <c r="C410" s="279"/>
      <c r="D410" s="279"/>
      <c r="G410" s="279"/>
      <c r="H410" s="279"/>
      <c r="I410" s="279"/>
    </row>
    <row r="412" spans="1:9" ht="18" customHeight="1">
      <c r="A412" s="278"/>
      <c r="B412" s="278"/>
      <c r="C412" s="278"/>
      <c r="D412" s="278"/>
      <c r="E412" s="278"/>
      <c r="F412" s="278"/>
      <c r="G412" s="278"/>
      <c r="H412" s="278"/>
      <c r="I412" s="278"/>
    </row>
    <row r="419" spans="2:9" ht="18" customHeight="1">
      <c r="B419" s="279"/>
      <c r="C419" s="279"/>
      <c r="D419" s="279"/>
      <c r="E419" s="45"/>
      <c r="G419" s="279"/>
      <c r="H419" s="279"/>
      <c r="I419" s="279"/>
    </row>
    <row r="420" spans="2:9" ht="18" customHeight="1">
      <c r="B420" s="279"/>
      <c r="C420" s="279"/>
      <c r="D420" s="279"/>
      <c r="E420" s="45"/>
      <c r="G420" s="279"/>
      <c r="H420" s="279"/>
      <c r="I420" s="279"/>
    </row>
    <row r="422" spans="2:9" ht="18" customHeight="1">
      <c r="B422" s="279"/>
      <c r="C422" s="279"/>
      <c r="D422" s="279"/>
      <c r="G422" s="279"/>
      <c r="H422" s="279"/>
      <c r="I422" s="279"/>
    </row>
    <row r="429" spans="2:9" ht="18" customHeight="1">
      <c r="B429" s="279"/>
      <c r="C429" s="279"/>
      <c r="D429" s="279"/>
      <c r="G429" s="279"/>
      <c r="H429" s="279"/>
      <c r="I429" s="279"/>
    </row>
    <row r="437" spans="1:9" ht="18" customHeight="1">
      <c r="B437" s="279"/>
      <c r="C437" s="279"/>
      <c r="D437" s="279"/>
      <c r="E437" s="45"/>
      <c r="G437" s="279"/>
      <c r="H437" s="279"/>
      <c r="I437" s="279"/>
    </row>
    <row r="439" spans="1:9" ht="18" customHeight="1">
      <c r="A439" s="82"/>
      <c r="B439" s="82"/>
      <c r="C439" s="82"/>
      <c r="D439" s="82"/>
      <c r="E439" s="82"/>
      <c r="F439" s="82"/>
      <c r="G439" s="82"/>
      <c r="H439" s="82"/>
      <c r="I439" s="82"/>
    </row>
    <row r="440" spans="1:9" ht="18" customHeight="1">
      <c r="A440" s="82"/>
      <c r="B440" s="279"/>
      <c r="C440" s="279"/>
      <c r="D440" s="279"/>
      <c r="E440" s="82"/>
      <c r="F440" s="82"/>
      <c r="G440" s="279"/>
      <c r="H440" s="279"/>
      <c r="I440" s="279"/>
    </row>
    <row r="441" spans="1:9" ht="18" customHeight="1">
      <c r="A441" s="82"/>
      <c r="B441" s="82"/>
      <c r="C441" s="82"/>
      <c r="D441" s="82"/>
      <c r="E441" s="82"/>
      <c r="F441" s="82"/>
      <c r="G441" s="82"/>
      <c r="H441" s="82"/>
      <c r="I441" s="82"/>
    </row>
    <row r="442" spans="1:9" ht="18" customHeight="1">
      <c r="A442" s="278"/>
      <c r="B442" s="278"/>
      <c r="C442" s="278"/>
      <c r="D442" s="278"/>
      <c r="E442" s="278"/>
      <c r="F442" s="278"/>
      <c r="G442" s="278"/>
      <c r="H442" s="278"/>
      <c r="I442" s="278"/>
    </row>
    <row r="443" spans="1:9" ht="18" customHeight="1">
      <c r="A443" s="278"/>
      <c r="B443" s="278"/>
      <c r="C443" s="278"/>
      <c r="D443" s="278"/>
      <c r="E443" s="278"/>
      <c r="F443" s="278"/>
      <c r="G443" s="278"/>
      <c r="H443" s="278"/>
      <c r="I443" s="278"/>
    </row>
    <row r="444" spans="1:9" ht="18" customHeight="1">
      <c r="B444" s="81"/>
      <c r="C444" s="81"/>
      <c r="D444" s="81"/>
      <c r="E444" s="81"/>
      <c r="F444" s="81"/>
      <c r="G444" s="45"/>
    </row>
    <row r="445" spans="1:9" ht="18" customHeight="1">
      <c r="A445" s="278"/>
      <c r="B445" s="278"/>
      <c r="C445" s="278"/>
      <c r="D445" s="278"/>
      <c r="E445" s="278"/>
      <c r="F445" s="278"/>
      <c r="G445" s="278"/>
      <c r="H445" s="278"/>
      <c r="I445" s="278"/>
    </row>
    <row r="447" spans="1:9" ht="18" customHeight="1">
      <c r="B447" s="279"/>
      <c r="C447" s="279"/>
      <c r="D447" s="279"/>
      <c r="G447" s="279"/>
      <c r="H447" s="279"/>
      <c r="I447" s="279"/>
    </row>
    <row r="449" spans="1:9" ht="18" customHeight="1">
      <c r="A449" s="278"/>
      <c r="B449" s="278"/>
      <c r="C449" s="278"/>
      <c r="D449" s="278"/>
      <c r="E449" s="278"/>
      <c r="F449" s="278"/>
      <c r="G449" s="278"/>
      <c r="H449" s="278"/>
      <c r="I449" s="278"/>
    </row>
    <row r="459" spans="1:9" ht="18" customHeight="1">
      <c r="B459" s="279"/>
      <c r="C459" s="279"/>
      <c r="D459" s="279"/>
      <c r="E459" s="45"/>
      <c r="F459" s="81"/>
      <c r="G459" s="279"/>
      <c r="H459" s="279"/>
      <c r="I459" s="279"/>
    </row>
    <row r="460" spans="1:9" ht="18" customHeight="1">
      <c r="B460" s="279"/>
      <c r="C460" s="279"/>
      <c r="D460" s="279"/>
      <c r="E460" s="45"/>
      <c r="F460" s="81"/>
      <c r="G460" s="279"/>
      <c r="H460" s="279"/>
      <c r="I460" s="279"/>
    </row>
    <row r="462" spans="1:9" ht="18" customHeight="1">
      <c r="B462" s="279"/>
      <c r="C462" s="279"/>
      <c r="D462" s="279"/>
      <c r="E462" s="81"/>
      <c r="F462" s="81"/>
      <c r="G462" s="279"/>
      <c r="H462" s="279"/>
      <c r="I462" s="279"/>
    </row>
    <row r="466" spans="2:9" ht="18" customHeight="1">
      <c r="B466" s="279"/>
      <c r="C466" s="279"/>
      <c r="D466" s="279"/>
      <c r="G466" s="279"/>
      <c r="H466" s="279"/>
      <c r="I466" s="279"/>
    </row>
    <row r="478" spans="2:9" ht="18" customHeight="1">
      <c r="B478" s="279"/>
      <c r="C478" s="279"/>
      <c r="D478" s="279"/>
      <c r="E478" s="45"/>
      <c r="F478" s="81"/>
      <c r="G478" s="279"/>
      <c r="H478" s="279"/>
      <c r="I478" s="279"/>
    </row>
    <row r="479" spans="2:9" ht="18" customHeight="1">
      <c r="B479" s="82"/>
      <c r="C479" s="82"/>
      <c r="D479" s="82"/>
      <c r="E479" s="82"/>
      <c r="F479" s="82"/>
      <c r="G479" s="82"/>
      <c r="H479" s="82"/>
      <c r="I479" s="82"/>
    </row>
    <row r="480" spans="2:9" ht="18" customHeight="1">
      <c r="B480" s="279"/>
      <c r="C480" s="279"/>
      <c r="D480" s="279"/>
      <c r="E480" s="82"/>
      <c r="F480" s="82"/>
      <c r="G480" s="279"/>
      <c r="H480" s="279"/>
      <c r="I480" s="279"/>
    </row>
    <row r="482" spans="1:9" ht="18" customHeight="1">
      <c r="A482" s="278"/>
      <c r="B482" s="278"/>
      <c r="C482" s="278"/>
      <c r="D482" s="278"/>
      <c r="E482" s="278"/>
      <c r="F482" s="278"/>
      <c r="G482" s="278"/>
      <c r="H482" s="278"/>
      <c r="I482" s="278"/>
    </row>
    <row r="483" spans="1:9" ht="18" customHeight="1">
      <c r="A483" s="278"/>
      <c r="B483" s="278"/>
      <c r="C483" s="278"/>
      <c r="D483" s="278"/>
      <c r="E483" s="278"/>
      <c r="F483" s="278"/>
      <c r="G483" s="278"/>
      <c r="H483" s="278"/>
      <c r="I483" s="278"/>
    </row>
    <row r="484" spans="1:9" ht="18" customHeight="1">
      <c r="B484" s="279"/>
      <c r="C484" s="279"/>
      <c r="D484" s="279"/>
      <c r="G484" s="279"/>
      <c r="H484" s="279"/>
      <c r="I484" s="279"/>
    </row>
    <row r="485" spans="1:9" ht="18" customHeight="1">
      <c r="A485" s="278"/>
      <c r="B485" s="278"/>
      <c r="C485" s="278"/>
      <c r="D485" s="278"/>
      <c r="E485" s="278"/>
      <c r="F485" s="278"/>
      <c r="G485" s="278"/>
      <c r="H485" s="278"/>
      <c r="I485" s="278"/>
    </row>
    <row r="486" spans="1:9" ht="18" customHeight="1">
      <c r="A486" s="278"/>
      <c r="B486" s="278"/>
      <c r="C486" s="278"/>
      <c r="D486" s="278"/>
      <c r="E486" s="278"/>
      <c r="F486" s="278"/>
      <c r="G486" s="278"/>
      <c r="H486" s="278"/>
      <c r="I486" s="278"/>
    </row>
    <row r="499" spans="2:9" ht="18" customHeight="1">
      <c r="B499" s="279"/>
      <c r="C499" s="279"/>
      <c r="D499" s="279"/>
      <c r="E499" s="45"/>
      <c r="G499" s="279"/>
      <c r="H499" s="279"/>
      <c r="I499" s="279"/>
    </row>
    <row r="500" spans="2:9" ht="18" customHeight="1">
      <c r="B500" s="279"/>
      <c r="C500" s="279"/>
      <c r="D500" s="279"/>
      <c r="E500" s="45"/>
      <c r="G500" s="279"/>
      <c r="H500" s="279"/>
      <c r="I500" s="279"/>
    </row>
    <row r="501" spans="2:9" ht="18" customHeight="1">
      <c r="B501" s="81"/>
      <c r="C501" s="81"/>
      <c r="D501" s="81"/>
      <c r="E501" s="81"/>
      <c r="F501" s="81"/>
      <c r="G501" s="45"/>
    </row>
    <row r="502" spans="2:9" ht="18" customHeight="1">
      <c r="B502" s="279"/>
      <c r="C502" s="279"/>
      <c r="D502" s="279"/>
      <c r="G502" s="279"/>
      <c r="H502" s="279"/>
      <c r="I502" s="279"/>
    </row>
    <row r="503" spans="2:9" ht="18" customHeight="1">
      <c r="B503" s="279"/>
      <c r="C503" s="279"/>
      <c r="D503" s="279"/>
      <c r="G503" s="279"/>
      <c r="H503" s="279"/>
      <c r="I503" s="279"/>
    </row>
    <row r="517" spans="1:9" ht="18" customHeight="1">
      <c r="B517" s="279"/>
      <c r="C517" s="279"/>
      <c r="D517" s="279"/>
      <c r="E517" s="45"/>
      <c r="G517" s="279"/>
      <c r="H517" s="279"/>
      <c r="I517" s="279"/>
    </row>
    <row r="518" spans="1:9" ht="18" customHeight="1">
      <c r="B518" s="279"/>
      <c r="C518" s="279"/>
      <c r="D518" s="279"/>
      <c r="E518" s="45"/>
      <c r="G518" s="279"/>
      <c r="H518" s="279"/>
      <c r="I518" s="279"/>
    </row>
    <row r="519" spans="1:9" ht="18" customHeight="1">
      <c r="A519" s="82"/>
      <c r="B519" s="82"/>
      <c r="C519" s="82"/>
      <c r="D519" s="82"/>
      <c r="E519" s="82"/>
      <c r="F519" s="82"/>
      <c r="G519" s="82"/>
      <c r="H519" s="82"/>
      <c r="I519" s="82"/>
    </row>
    <row r="520" spans="1:9" ht="18" customHeight="1">
      <c r="B520" s="279"/>
      <c r="C520" s="279"/>
      <c r="D520" s="279"/>
      <c r="G520" s="279"/>
      <c r="H520" s="279"/>
      <c r="I520" s="279"/>
    </row>
    <row r="521" spans="1:9" ht="18" customHeight="1">
      <c r="B521" s="279"/>
      <c r="C521" s="279"/>
      <c r="D521" s="279"/>
      <c r="G521" s="279"/>
      <c r="H521" s="279"/>
      <c r="I521" s="279"/>
    </row>
    <row r="522" spans="1:9" ht="18" customHeight="1">
      <c r="B522" s="82"/>
      <c r="C522" s="82"/>
      <c r="D522" s="82"/>
      <c r="E522" s="82"/>
      <c r="F522" s="82"/>
      <c r="G522" s="68"/>
    </row>
    <row r="523" spans="1:9" ht="18" customHeight="1">
      <c r="A523" s="278"/>
      <c r="B523" s="278"/>
      <c r="C523" s="278"/>
      <c r="D523" s="278"/>
      <c r="E523" s="278"/>
      <c r="F523" s="278"/>
      <c r="G523" s="278"/>
      <c r="H523" s="278"/>
      <c r="I523" s="278"/>
    </row>
    <row r="524" spans="1:9" ht="18" customHeight="1">
      <c r="B524" s="81"/>
      <c r="C524" s="81"/>
      <c r="D524" s="81"/>
      <c r="E524" s="81"/>
      <c r="F524" s="81"/>
      <c r="G524" s="45"/>
    </row>
    <row r="525" spans="1:9" ht="18" customHeight="1">
      <c r="A525" s="278"/>
      <c r="B525" s="278"/>
      <c r="C525" s="278"/>
      <c r="D525" s="278"/>
      <c r="E525" s="278"/>
      <c r="F525" s="278"/>
      <c r="G525" s="278"/>
      <c r="H525" s="278"/>
      <c r="I525" s="278"/>
    </row>
    <row r="540" spans="2:9" ht="18" customHeight="1">
      <c r="B540" s="279"/>
      <c r="C540" s="279"/>
      <c r="D540" s="279"/>
      <c r="E540" s="45"/>
      <c r="G540" s="279"/>
      <c r="H540" s="279"/>
      <c r="I540" s="279"/>
    </row>
    <row r="542" spans="2:9" ht="18" customHeight="1">
      <c r="B542" s="279"/>
      <c r="C542" s="279"/>
      <c r="D542" s="279"/>
      <c r="G542" s="279"/>
      <c r="H542" s="279"/>
      <c r="I542" s="279"/>
    </row>
    <row r="558" spans="1:9" ht="18" customHeight="1">
      <c r="B558" s="279"/>
      <c r="C558" s="279"/>
      <c r="D558" s="279"/>
      <c r="E558" s="45"/>
      <c r="G558" s="279"/>
      <c r="H558" s="279"/>
      <c r="I558" s="279"/>
    </row>
    <row r="559" spans="1:9" ht="18" customHeight="1">
      <c r="B559" s="82"/>
      <c r="C559" s="82"/>
      <c r="D559" s="82"/>
      <c r="E559" s="82"/>
      <c r="F559" s="82"/>
      <c r="G559" s="82"/>
      <c r="H559" s="82"/>
      <c r="I559" s="82"/>
    </row>
    <row r="560" spans="1:9" ht="18" customHeight="1">
      <c r="A560" s="278"/>
      <c r="B560" s="278"/>
      <c r="C560" s="278"/>
      <c r="D560" s="278"/>
      <c r="E560" s="278"/>
      <c r="F560" s="278"/>
      <c r="G560" s="278"/>
      <c r="H560" s="278"/>
      <c r="I560" s="278"/>
    </row>
    <row r="563" spans="1:9" ht="18" customHeight="1">
      <c r="A563" s="278"/>
      <c r="B563" s="278"/>
      <c r="C563" s="278"/>
      <c r="D563" s="278"/>
      <c r="E563" s="278"/>
      <c r="F563" s="278"/>
      <c r="G563" s="278"/>
      <c r="H563" s="278"/>
      <c r="I563" s="278"/>
    </row>
    <row r="565" spans="1:9" ht="18" customHeight="1">
      <c r="A565" s="278"/>
      <c r="B565" s="278"/>
      <c r="C565" s="278"/>
      <c r="D565" s="278"/>
      <c r="E565" s="278"/>
      <c r="F565" s="278"/>
      <c r="G565" s="278"/>
      <c r="H565" s="278"/>
      <c r="I565" s="278"/>
    </row>
    <row r="577" spans="2:9" ht="18" customHeight="1">
      <c r="B577" s="279"/>
      <c r="C577" s="279"/>
      <c r="D577" s="279"/>
      <c r="G577" s="279"/>
      <c r="H577" s="279"/>
      <c r="I577" s="279"/>
    </row>
    <row r="580" spans="2:9" ht="18" customHeight="1">
      <c r="B580" s="279"/>
      <c r="C580" s="279"/>
      <c r="D580" s="279"/>
      <c r="E580" s="45"/>
      <c r="G580" s="279"/>
      <c r="H580" s="279"/>
      <c r="I580" s="279"/>
    </row>
    <row r="582" spans="2:9" ht="18" customHeight="1">
      <c r="B582" s="279"/>
      <c r="C582" s="279"/>
      <c r="D582" s="279"/>
      <c r="G582" s="279"/>
      <c r="H582" s="279"/>
      <c r="I582" s="279"/>
    </row>
    <row r="595" spans="1:9" ht="18" customHeight="1">
      <c r="B595" s="279"/>
      <c r="C595" s="279"/>
      <c r="D595" s="279"/>
      <c r="G595" s="279"/>
      <c r="H595" s="279"/>
      <c r="I595" s="279"/>
    </row>
    <row r="597" spans="1:9" ht="18" customHeight="1">
      <c r="A597" s="278"/>
      <c r="B597" s="278"/>
      <c r="C597" s="278"/>
      <c r="D597" s="278"/>
      <c r="E597" s="278"/>
      <c r="F597" s="278"/>
      <c r="G597" s="278"/>
      <c r="H597" s="278"/>
      <c r="I597" s="278"/>
    </row>
    <row r="598" spans="1:9" ht="18" customHeight="1">
      <c r="B598" s="279"/>
      <c r="C598" s="279"/>
      <c r="D598" s="279"/>
      <c r="E598" s="45"/>
      <c r="G598" s="279"/>
      <c r="H598" s="279"/>
      <c r="I598" s="279"/>
    </row>
    <row r="599" spans="1:9" ht="18" customHeight="1">
      <c r="A599" s="82"/>
      <c r="B599" s="82"/>
      <c r="C599" s="82"/>
      <c r="D599" s="82"/>
      <c r="E599" s="82"/>
      <c r="F599" s="82"/>
      <c r="G599" s="82"/>
      <c r="H599" s="82"/>
      <c r="I599" s="82"/>
    </row>
    <row r="600" spans="1:9" ht="18" customHeight="1">
      <c r="B600" s="279"/>
      <c r="C600" s="279"/>
      <c r="D600" s="279"/>
      <c r="G600" s="279"/>
      <c r="H600" s="279"/>
      <c r="I600" s="279"/>
    </row>
    <row r="601" spans="1:9" ht="18" customHeight="1">
      <c r="B601" s="82"/>
      <c r="C601" s="82"/>
      <c r="D601" s="82"/>
      <c r="E601" s="82"/>
      <c r="F601" s="82"/>
      <c r="G601" s="68"/>
    </row>
    <row r="602" spans="1:9" ht="18" customHeight="1">
      <c r="B602" s="81"/>
      <c r="C602" s="81"/>
      <c r="D602" s="81"/>
      <c r="E602" s="81"/>
      <c r="F602" s="81"/>
      <c r="G602" s="45"/>
    </row>
    <row r="603" spans="1:9" ht="18" customHeight="1">
      <c r="A603" s="278"/>
      <c r="B603" s="278"/>
      <c r="C603" s="278"/>
      <c r="D603" s="278"/>
      <c r="E603" s="278"/>
      <c r="F603" s="278"/>
      <c r="G603" s="278"/>
      <c r="H603" s="278"/>
      <c r="I603" s="278"/>
    </row>
    <row r="604" spans="1:9" ht="18" customHeight="1">
      <c r="B604" s="81"/>
      <c r="C604" s="81"/>
      <c r="D604" s="81"/>
      <c r="E604" s="81"/>
      <c r="F604" s="81"/>
      <c r="G604" s="45"/>
    </row>
    <row r="605" spans="1:9" ht="18" customHeight="1">
      <c r="A605" s="278"/>
      <c r="B605" s="278"/>
      <c r="C605" s="278"/>
      <c r="D605" s="278"/>
      <c r="E605" s="278"/>
      <c r="F605" s="278"/>
      <c r="G605" s="278"/>
      <c r="H605" s="278"/>
      <c r="I605" s="278"/>
    </row>
    <row r="614" spans="2:9" ht="18" customHeight="1">
      <c r="B614" s="279"/>
      <c r="C614" s="279"/>
      <c r="D614" s="279"/>
      <c r="G614" s="279"/>
      <c r="H614" s="279"/>
      <c r="I614" s="279"/>
    </row>
    <row r="620" spans="2:9" ht="18" customHeight="1">
      <c r="B620" s="279"/>
      <c r="C620" s="279"/>
      <c r="D620" s="279"/>
      <c r="E620" s="45"/>
      <c r="F620" s="81"/>
      <c r="G620" s="279"/>
      <c r="H620" s="279"/>
      <c r="I620" s="279"/>
    </row>
    <row r="622" spans="2:9" ht="18" customHeight="1">
      <c r="B622" s="279"/>
      <c r="C622" s="279"/>
      <c r="D622" s="279"/>
      <c r="E622" s="81"/>
      <c r="F622" s="81"/>
      <c r="G622" s="279"/>
      <c r="H622" s="279"/>
      <c r="I622" s="279"/>
    </row>
    <row r="632" spans="1:9" ht="18" customHeight="1">
      <c r="B632" s="279"/>
      <c r="C632" s="279"/>
      <c r="D632" s="279"/>
      <c r="G632" s="279"/>
      <c r="H632" s="279"/>
      <c r="I632" s="279"/>
    </row>
    <row r="634" spans="1:9" ht="18" customHeight="1">
      <c r="A634" s="278"/>
      <c r="B634" s="278"/>
      <c r="C634" s="278"/>
      <c r="D634" s="278"/>
      <c r="E634" s="278"/>
      <c r="F634" s="278"/>
      <c r="G634" s="278"/>
      <c r="H634" s="278"/>
      <c r="I634" s="278"/>
    </row>
    <row r="638" spans="1:9" ht="18" customHeight="1">
      <c r="B638" s="279"/>
      <c r="C638" s="279"/>
      <c r="D638" s="279"/>
      <c r="E638" s="45"/>
      <c r="G638" s="279"/>
      <c r="H638" s="279"/>
      <c r="I638" s="279"/>
    </row>
    <row r="639" spans="1:9" ht="18" customHeight="1">
      <c r="B639" s="82"/>
      <c r="C639" s="82"/>
      <c r="D639" s="82"/>
      <c r="E639" s="82"/>
      <c r="F639" s="82"/>
      <c r="G639" s="82"/>
      <c r="H639" s="82"/>
      <c r="I639" s="82"/>
    </row>
    <row r="640" spans="1:9" ht="18" customHeight="1">
      <c r="B640" s="279"/>
      <c r="C640" s="279"/>
      <c r="D640" s="279"/>
      <c r="G640" s="279"/>
      <c r="H640" s="279"/>
      <c r="I640" s="279"/>
    </row>
    <row r="643" spans="1:9" ht="18" customHeight="1">
      <c r="A643" s="278"/>
      <c r="B643" s="278"/>
      <c r="C643" s="278"/>
      <c r="D643" s="278"/>
      <c r="E643" s="278"/>
      <c r="F643" s="278"/>
      <c r="G643" s="278"/>
      <c r="H643" s="278"/>
      <c r="I643" s="278"/>
    </row>
    <row r="645" spans="1:9" ht="18" customHeight="1">
      <c r="A645" s="278"/>
      <c r="B645" s="278"/>
      <c r="C645" s="278"/>
      <c r="D645" s="278"/>
      <c r="E645" s="278"/>
      <c r="F645" s="278"/>
      <c r="G645" s="278"/>
      <c r="H645" s="278"/>
      <c r="I645" s="278"/>
    </row>
    <row r="651" spans="1:9" ht="18" customHeight="1">
      <c r="B651" s="279"/>
      <c r="C651" s="279"/>
      <c r="D651" s="279"/>
      <c r="G651" s="279"/>
      <c r="H651" s="279"/>
      <c r="I651" s="279"/>
    </row>
    <row r="660" spans="1:9" ht="18" customHeight="1">
      <c r="B660" s="279"/>
      <c r="C660" s="279"/>
      <c r="D660" s="279"/>
      <c r="E660" s="45"/>
      <c r="G660" s="279"/>
      <c r="H660" s="279"/>
      <c r="I660" s="279"/>
    </row>
    <row r="662" spans="1:9" ht="18" customHeight="1">
      <c r="B662" s="279"/>
      <c r="C662" s="279"/>
      <c r="D662" s="279"/>
      <c r="G662" s="279"/>
      <c r="H662" s="279"/>
      <c r="I662" s="279"/>
    </row>
    <row r="669" spans="1:9" ht="18" customHeight="1">
      <c r="B669" s="279"/>
      <c r="C669" s="279"/>
      <c r="D669" s="279"/>
      <c r="G669" s="279"/>
      <c r="H669" s="279"/>
      <c r="I669" s="279"/>
    </row>
    <row r="671" spans="1:9" ht="18" customHeight="1">
      <c r="A671" s="278"/>
      <c r="B671" s="278"/>
      <c r="C671" s="278"/>
      <c r="D671" s="278"/>
      <c r="E671" s="278"/>
      <c r="F671" s="278"/>
      <c r="G671" s="278"/>
      <c r="H671" s="278"/>
      <c r="I671" s="278"/>
    </row>
    <row r="678" spans="1:9" ht="18" customHeight="1">
      <c r="B678" s="279"/>
      <c r="C678" s="279"/>
      <c r="D678" s="279"/>
      <c r="E678" s="45"/>
    </row>
    <row r="679" spans="1:9" ht="18" customHeight="1">
      <c r="A679" s="82"/>
      <c r="B679" s="82"/>
      <c r="C679" s="82"/>
      <c r="D679" s="82"/>
      <c r="E679" s="82"/>
      <c r="F679" s="82"/>
      <c r="G679" s="82"/>
      <c r="H679" s="82"/>
      <c r="I679" s="82"/>
    </row>
    <row r="680" spans="1:9" ht="18" customHeight="1">
      <c r="B680" s="279"/>
      <c r="C680" s="279"/>
      <c r="D680" s="279"/>
      <c r="G680" s="279"/>
      <c r="H680" s="279"/>
      <c r="I680" s="279"/>
    </row>
    <row r="683" spans="1:9" ht="18" customHeight="1">
      <c r="A683" s="278"/>
      <c r="B683" s="278"/>
      <c r="C683" s="278"/>
      <c r="D683" s="278"/>
      <c r="E683" s="278"/>
      <c r="F683" s="278"/>
      <c r="G683" s="278"/>
      <c r="H683" s="278"/>
      <c r="I683" s="278"/>
    </row>
    <row r="685" spans="1:9" ht="18" customHeight="1">
      <c r="A685" s="278"/>
      <c r="B685" s="278"/>
      <c r="C685" s="278"/>
      <c r="D685" s="278"/>
      <c r="E685" s="278"/>
      <c r="F685" s="278"/>
      <c r="G685" s="278"/>
      <c r="H685" s="278"/>
      <c r="I685" s="278"/>
    </row>
    <row r="688" spans="1:9" ht="18" customHeight="1">
      <c r="B688" s="279"/>
      <c r="C688" s="279"/>
      <c r="D688" s="279"/>
      <c r="G688" s="279"/>
      <c r="H688" s="279"/>
      <c r="I688" s="279"/>
    </row>
    <row r="700" spans="2:9" ht="18" customHeight="1">
      <c r="B700" s="279"/>
      <c r="C700" s="279"/>
      <c r="D700" s="279"/>
      <c r="E700" s="45"/>
      <c r="G700" s="279"/>
      <c r="H700" s="279"/>
      <c r="I700" s="279"/>
    </row>
    <row r="702" spans="2:9" ht="18" customHeight="1">
      <c r="B702" s="279"/>
      <c r="C702" s="279"/>
      <c r="D702" s="279"/>
      <c r="G702" s="279"/>
      <c r="H702" s="279"/>
      <c r="I702" s="279"/>
    </row>
    <row r="706" spans="1:9" ht="18" customHeight="1">
      <c r="B706" s="279"/>
      <c r="C706" s="279"/>
      <c r="D706" s="279"/>
      <c r="G706" s="279"/>
      <c r="H706" s="279"/>
      <c r="I706" s="279"/>
    </row>
    <row r="708" spans="1:9" ht="18" customHeight="1">
      <c r="A708" s="278"/>
      <c r="B708" s="278"/>
      <c r="C708" s="278"/>
      <c r="D708" s="278"/>
      <c r="E708" s="278"/>
      <c r="F708" s="278"/>
      <c r="G708" s="278"/>
      <c r="H708" s="278"/>
      <c r="I708" s="278"/>
    </row>
    <row r="718" spans="1:9" ht="18" customHeight="1">
      <c r="B718" s="279"/>
      <c r="C718" s="279"/>
      <c r="D718" s="279"/>
      <c r="E718" s="45"/>
      <c r="G718" s="279"/>
      <c r="H718" s="279"/>
      <c r="I718" s="279"/>
    </row>
    <row r="723" spans="1:9" ht="18" customHeight="1">
      <c r="A723" s="278"/>
      <c r="B723" s="278"/>
      <c r="C723" s="278"/>
      <c r="D723" s="278"/>
      <c r="E723" s="278"/>
      <c r="F723" s="278"/>
      <c r="G723" s="278"/>
      <c r="H723" s="278"/>
      <c r="I723" s="278"/>
    </row>
    <row r="725" spans="1:9" ht="18" customHeight="1">
      <c r="B725" s="279"/>
      <c r="C725" s="279"/>
      <c r="D725" s="279"/>
      <c r="G725" s="279"/>
      <c r="H725" s="279"/>
      <c r="I725" s="279"/>
    </row>
    <row r="740" spans="1:9" ht="18" customHeight="1">
      <c r="B740" s="279"/>
      <c r="C740" s="279"/>
      <c r="D740" s="279"/>
      <c r="E740" s="45"/>
      <c r="G740" s="279"/>
      <c r="H740" s="279"/>
      <c r="I740" s="279"/>
    </row>
    <row r="743" spans="1:9" ht="18" customHeight="1">
      <c r="B743" s="279"/>
      <c r="C743" s="279"/>
      <c r="D743" s="279"/>
      <c r="G743" s="279"/>
      <c r="H743" s="279"/>
      <c r="I743" s="279"/>
    </row>
    <row r="745" spans="1:9" ht="18" customHeight="1">
      <c r="A745" s="278"/>
      <c r="B745" s="278"/>
      <c r="C745" s="278"/>
      <c r="D745" s="278"/>
      <c r="E745" s="278"/>
      <c r="F745" s="278"/>
      <c r="G745" s="278"/>
      <c r="H745" s="278"/>
      <c r="I745" s="278"/>
    </row>
    <row r="762" spans="1:9" ht="18" customHeight="1">
      <c r="B762" s="279"/>
      <c r="C762" s="279"/>
      <c r="D762" s="279"/>
      <c r="G762" s="279"/>
      <c r="H762" s="279"/>
      <c r="I762" s="279"/>
    </row>
    <row r="763" spans="1:9" ht="18" customHeight="1">
      <c r="A763" s="278"/>
      <c r="B763" s="278"/>
      <c r="C763" s="278"/>
      <c r="D763" s="278"/>
      <c r="E763" s="278"/>
      <c r="F763" s="278"/>
      <c r="G763" s="278"/>
      <c r="H763" s="278"/>
      <c r="I763" s="278"/>
    </row>
    <row r="780" spans="1:9" ht="18" customHeight="1">
      <c r="B780" s="279"/>
      <c r="C780" s="279"/>
      <c r="D780" s="279"/>
      <c r="E780" s="45"/>
      <c r="G780" s="279"/>
      <c r="H780" s="279"/>
      <c r="I780" s="279"/>
    </row>
    <row r="782" spans="1:9" ht="18" customHeight="1">
      <c r="A782" s="278"/>
      <c r="B782" s="278"/>
      <c r="C782" s="278"/>
      <c r="D782" s="278"/>
      <c r="E782" s="278"/>
      <c r="F782" s="278"/>
      <c r="G782" s="278"/>
      <c r="H782" s="278"/>
      <c r="I782" s="278"/>
    </row>
    <row r="798" spans="2:9" ht="18" customHeight="1">
      <c r="B798" s="279"/>
      <c r="C798" s="279"/>
      <c r="D798" s="279"/>
      <c r="E798" s="45"/>
      <c r="G798" s="279"/>
      <c r="H798" s="279"/>
      <c r="I798" s="279"/>
    </row>
    <row r="799" spans="2:9" ht="18" customHeight="1">
      <c r="B799" s="279"/>
      <c r="C799" s="279"/>
      <c r="D799" s="279"/>
      <c r="G799" s="279"/>
      <c r="H799" s="279"/>
      <c r="I799" s="279"/>
    </row>
    <row r="803" spans="1:9" ht="18" customHeight="1">
      <c r="A803" s="278"/>
      <c r="B803" s="278"/>
      <c r="C803" s="278"/>
      <c r="D803" s="278"/>
      <c r="E803" s="278"/>
      <c r="F803" s="278"/>
      <c r="G803" s="278"/>
      <c r="H803" s="278"/>
      <c r="I803" s="278"/>
    </row>
    <row r="817" spans="1:9" ht="18" customHeight="1">
      <c r="B817" s="279"/>
      <c r="C817" s="279"/>
      <c r="D817" s="279"/>
      <c r="G817" s="279"/>
      <c r="H817" s="279"/>
      <c r="I817" s="279"/>
    </row>
    <row r="819" spans="1:9" ht="18" customHeight="1">
      <c r="A819" s="278"/>
      <c r="B819" s="278"/>
      <c r="C819" s="278"/>
      <c r="D819" s="278"/>
      <c r="E819" s="278"/>
      <c r="F819" s="278"/>
      <c r="G819" s="278"/>
      <c r="H819" s="278"/>
      <c r="I819" s="278"/>
    </row>
    <row r="820" spans="1:9" ht="18" customHeight="1">
      <c r="B820" s="279"/>
      <c r="C820" s="279"/>
      <c r="D820" s="279"/>
      <c r="E820" s="45"/>
      <c r="G820" s="279"/>
      <c r="H820" s="279"/>
      <c r="I820" s="279"/>
    </row>
    <row r="836" spans="2:9" ht="18" customHeight="1">
      <c r="B836" s="279"/>
      <c r="C836" s="279"/>
      <c r="D836" s="279"/>
      <c r="G836" s="279"/>
      <c r="H836" s="279"/>
      <c r="I836" s="279"/>
    </row>
    <row r="838" spans="2:9" ht="18" customHeight="1">
      <c r="B838" s="279"/>
      <c r="C838" s="279"/>
      <c r="D838" s="279"/>
    </row>
    <row r="854" spans="1:9" ht="18" customHeight="1">
      <c r="B854" s="279"/>
      <c r="C854" s="279"/>
      <c r="D854" s="279"/>
      <c r="G854" s="279"/>
      <c r="H854" s="279"/>
      <c r="I854" s="279"/>
    </row>
    <row r="856" spans="1:9" ht="18" customHeight="1">
      <c r="A856" s="278"/>
      <c r="B856" s="278"/>
      <c r="C856" s="278"/>
      <c r="D856" s="278"/>
      <c r="E856" s="278"/>
      <c r="F856" s="278"/>
      <c r="G856" s="278"/>
      <c r="H856" s="278"/>
      <c r="I856" s="278"/>
    </row>
    <row r="873" spans="2:9" ht="18" customHeight="1">
      <c r="B873" s="279"/>
      <c r="C873" s="279"/>
      <c r="D873" s="279"/>
      <c r="G873" s="279"/>
      <c r="H873" s="279"/>
      <c r="I873" s="279"/>
    </row>
    <row r="891" spans="1:9" ht="18" customHeight="1">
      <c r="B891" s="279"/>
      <c r="C891" s="279"/>
      <c r="D891" s="279"/>
      <c r="G891" s="279"/>
      <c r="H891" s="279"/>
      <c r="I891" s="279"/>
    </row>
    <row r="893" spans="1:9" ht="18" customHeight="1">
      <c r="A893" s="278"/>
      <c r="B893" s="278"/>
      <c r="C893" s="278"/>
      <c r="D893" s="278"/>
      <c r="E893" s="278"/>
      <c r="F893" s="278"/>
      <c r="G893" s="278"/>
      <c r="H893" s="278"/>
      <c r="I893" s="278"/>
    </row>
    <row r="910" spans="2:9" ht="18" customHeight="1">
      <c r="B910" s="279"/>
      <c r="C910" s="279"/>
      <c r="D910" s="279"/>
      <c r="G910" s="279"/>
      <c r="H910" s="279"/>
      <c r="I910" s="279"/>
    </row>
    <row r="928" spans="2:9" ht="18" customHeight="1">
      <c r="B928" s="279"/>
      <c r="C928" s="279"/>
      <c r="D928" s="279"/>
      <c r="G928" s="279"/>
      <c r="H928" s="279"/>
      <c r="I928" s="279"/>
    </row>
    <row r="930" spans="1:9" ht="18" customHeight="1">
      <c r="A930" s="278"/>
      <c r="B930" s="278"/>
      <c r="C930" s="278"/>
      <c r="D930" s="278"/>
      <c r="E930" s="278"/>
      <c r="F930" s="278"/>
      <c r="G930" s="278"/>
      <c r="H930" s="278"/>
      <c r="I930" s="278"/>
    </row>
    <row r="947" spans="2:9" ht="18" customHeight="1">
      <c r="B947" s="279"/>
      <c r="C947" s="279"/>
      <c r="D947" s="279"/>
      <c r="G947" s="279"/>
      <c r="H947" s="279"/>
      <c r="I947" s="279"/>
    </row>
    <row r="965" spans="1:9" ht="18" customHeight="1">
      <c r="B965" s="279"/>
      <c r="C965" s="279"/>
      <c r="D965" s="279"/>
      <c r="G965" s="279"/>
      <c r="H965" s="279"/>
      <c r="I965" s="279"/>
    </row>
    <row r="967" spans="1:9" ht="18" customHeight="1">
      <c r="A967" s="278"/>
      <c r="B967" s="278"/>
      <c r="C967" s="278"/>
      <c r="D967" s="278"/>
      <c r="E967" s="278"/>
      <c r="F967" s="278"/>
      <c r="G967" s="278"/>
      <c r="H967" s="278"/>
      <c r="I967" s="278"/>
    </row>
    <row r="984" spans="2:9" ht="18" customHeight="1">
      <c r="B984" s="279"/>
      <c r="C984" s="279"/>
      <c r="D984" s="279"/>
      <c r="G984" s="279"/>
      <c r="H984" s="279"/>
      <c r="I984" s="279"/>
    </row>
    <row r="1002" spans="1:9" ht="18" customHeight="1">
      <c r="B1002" s="279"/>
      <c r="C1002" s="279"/>
      <c r="D1002" s="279"/>
      <c r="G1002" s="279"/>
      <c r="H1002" s="279"/>
      <c r="I1002" s="279"/>
    </row>
    <row r="1004" spans="1:9" ht="18" customHeight="1">
      <c r="A1004" s="278"/>
      <c r="B1004" s="278"/>
      <c r="C1004" s="278"/>
      <c r="D1004" s="278"/>
      <c r="E1004" s="278"/>
      <c r="F1004" s="278"/>
      <c r="G1004" s="278"/>
      <c r="H1004" s="278"/>
      <c r="I1004" s="278"/>
    </row>
    <row r="1021" spans="2:9" ht="18" customHeight="1">
      <c r="B1021" s="279"/>
      <c r="C1021" s="279"/>
      <c r="D1021" s="279"/>
      <c r="G1021" s="279"/>
      <c r="H1021" s="279"/>
      <c r="I1021" s="279"/>
    </row>
    <row r="1039" spans="2:9" ht="18" customHeight="1">
      <c r="B1039" s="279"/>
      <c r="C1039" s="279"/>
      <c r="D1039" s="279"/>
      <c r="G1039" s="279"/>
      <c r="H1039" s="279"/>
      <c r="I1039" s="279"/>
    </row>
    <row r="1041" spans="1:9" ht="18" customHeight="1">
      <c r="A1041" s="278"/>
      <c r="B1041" s="278"/>
      <c r="C1041" s="278"/>
      <c r="D1041" s="278"/>
      <c r="E1041" s="278"/>
      <c r="F1041" s="278"/>
      <c r="G1041" s="278"/>
      <c r="H1041" s="278"/>
      <c r="I1041" s="278"/>
    </row>
    <row r="1058" spans="2:9" ht="18" customHeight="1">
      <c r="B1058" s="279"/>
      <c r="C1058" s="279"/>
      <c r="D1058" s="279"/>
      <c r="G1058" s="279"/>
      <c r="H1058" s="279"/>
      <c r="I1058" s="279"/>
    </row>
    <row r="1076" spans="1:9" ht="18" customHeight="1">
      <c r="B1076" s="279"/>
      <c r="C1076" s="279"/>
      <c r="D1076" s="279"/>
      <c r="G1076" s="279"/>
      <c r="H1076" s="279"/>
      <c r="I1076" s="279"/>
    </row>
    <row r="1078" spans="1:9" ht="18" customHeight="1">
      <c r="A1078" s="278"/>
      <c r="B1078" s="278"/>
      <c r="C1078" s="278"/>
      <c r="D1078" s="278"/>
      <c r="E1078" s="278"/>
      <c r="F1078" s="278"/>
      <c r="G1078" s="278"/>
      <c r="H1078" s="278"/>
      <c r="I1078" s="278"/>
    </row>
    <row r="1095" spans="2:9" ht="18" customHeight="1">
      <c r="B1095" s="279"/>
      <c r="C1095" s="279"/>
      <c r="D1095" s="279"/>
      <c r="G1095" s="279"/>
      <c r="H1095" s="279"/>
      <c r="I1095" s="279"/>
    </row>
    <row r="1113" spans="1:9" ht="18" customHeight="1">
      <c r="B1113" s="279"/>
      <c r="C1113" s="279"/>
      <c r="D1113" s="279"/>
      <c r="G1113" s="279"/>
      <c r="H1113" s="279"/>
      <c r="I1113" s="279"/>
    </row>
    <row r="1115" spans="1:9" ht="18" customHeight="1">
      <c r="A1115" s="278"/>
      <c r="B1115" s="278"/>
      <c r="C1115" s="278"/>
      <c r="D1115" s="278"/>
      <c r="E1115" s="278"/>
      <c r="F1115" s="278"/>
      <c r="G1115" s="278"/>
      <c r="H1115" s="278"/>
      <c r="I1115" s="278"/>
    </row>
    <row r="1132" spans="2:9" ht="18" customHeight="1">
      <c r="B1132" s="279"/>
      <c r="C1132" s="279"/>
      <c r="D1132" s="279"/>
      <c r="G1132" s="279"/>
      <c r="H1132" s="279"/>
      <c r="I1132" s="279"/>
    </row>
    <row r="1150" spans="1:9" ht="18" customHeight="1">
      <c r="B1150" s="279"/>
      <c r="C1150" s="279"/>
      <c r="D1150" s="279"/>
      <c r="G1150" s="279"/>
      <c r="H1150" s="279"/>
      <c r="I1150" s="279"/>
    </row>
    <row r="1152" spans="1:9" ht="18" customHeight="1">
      <c r="A1152" s="278"/>
      <c r="B1152" s="278"/>
      <c r="C1152" s="278"/>
      <c r="D1152" s="278"/>
      <c r="E1152" s="278"/>
      <c r="F1152" s="278"/>
      <c r="G1152" s="278"/>
      <c r="H1152" s="278"/>
      <c r="I1152" s="278"/>
    </row>
    <row r="1169" spans="2:9" ht="18" customHeight="1">
      <c r="B1169" s="279"/>
      <c r="C1169" s="279"/>
      <c r="D1169" s="279"/>
      <c r="G1169" s="279"/>
      <c r="H1169" s="279"/>
      <c r="I1169" s="279"/>
    </row>
    <row r="1187" spans="1:9" ht="18" customHeight="1">
      <c r="B1187" s="279"/>
      <c r="C1187" s="279"/>
      <c r="D1187" s="279"/>
      <c r="G1187" s="279"/>
      <c r="H1187" s="279"/>
      <c r="I1187" s="279"/>
    </row>
    <row r="1189" spans="1:9" ht="18" customHeight="1">
      <c r="A1189" s="278"/>
      <c r="B1189" s="278"/>
      <c r="C1189" s="278"/>
      <c r="D1189" s="278"/>
      <c r="E1189" s="278"/>
      <c r="F1189" s="278"/>
      <c r="G1189" s="278"/>
      <c r="H1189" s="278"/>
      <c r="I1189" s="278"/>
    </row>
    <row r="1206" spans="2:9" ht="18" customHeight="1">
      <c r="B1206" s="279"/>
      <c r="C1206" s="279"/>
      <c r="D1206" s="279"/>
      <c r="G1206" s="279"/>
      <c r="H1206" s="279"/>
      <c r="I1206" s="279"/>
    </row>
    <row r="1224" spans="1:9" ht="18" customHeight="1">
      <c r="B1224" s="279"/>
      <c r="C1224" s="279"/>
      <c r="D1224" s="279"/>
      <c r="G1224" s="279"/>
      <c r="H1224" s="279"/>
      <c r="I1224" s="279"/>
    </row>
    <row r="1226" spans="1:9" ht="18" customHeight="1">
      <c r="A1226" s="278"/>
      <c r="B1226" s="278"/>
      <c r="C1226" s="278"/>
      <c r="D1226" s="278"/>
      <c r="E1226" s="278"/>
      <c r="F1226" s="278"/>
      <c r="G1226" s="278"/>
      <c r="H1226" s="278"/>
      <c r="I1226" s="278"/>
    </row>
    <row r="1243" spans="2:9" ht="18" customHeight="1">
      <c r="B1243" s="279"/>
      <c r="C1243" s="279"/>
      <c r="D1243" s="279"/>
      <c r="G1243" s="279"/>
      <c r="H1243" s="279"/>
      <c r="I1243" s="279"/>
    </row>
    <row r="1261" spans="1:9" ht="18" customHeight="1">
      <c r="B1261" s="279"/>
      <c r="C1261" s="279"/>
      <c r="D1261" s="279"/>
      <c r="G1261" s="279"/>
      <c r="H1261" s="279"/>
      <c r="I1261" s="279"/>
    </row>
    <row r="1263" spans="1:9" ht="18" customHeight="1">
      <c r="A1263" s="278"/>
      <c r="B1263" s="278"/>
      <c r="C1263" s="278"/>
      <c r="D1263" s="278"/>
      <c r="E1263" s="278"/>
      <c r="F1263" s="278"/>
      <c r="G1263" s="278"/>
      <c r="H1263" s="278"/>
      <c r="I1263" s="278"/>
    </row>
    <row r="1280" spans="2:9" ht="18" customHeight="1">
      <c r="B1280" s="279"/>
      <c r="C1280" s="279"/>
      <c r="D1280" s="279"/>
      <c r="G1280" s="279"/>
      <c r="H1280" s="279"/>
      <c r="I1280" s="279"/>
    </row>
    <row r="1298" spans="1:9" ht="18" customHeight="1">
      <c r="B1298" s="279"/>
      <c r="C1298" s="279"/>
      <c r="D1298" s="279"/>
      <c r="G1298" s="279"/>
      <c r="H1298" s="279"/>
      <c r="I1298" s="279"/>
    </row>
    <row r="1300" spans="1:9" ht="18" customHeight="1">
      <c r="A1300" s="278"/>
      <c r="B1300" s="278"/>
      <c r="C1300" s="278"/>
      <c r="D1300" s="278"/>
      <c r="E1300" s="278"/>
      <c r="F1300" s="278"/>
      <c r="G1300" s="278"/>
      <c r="H1300" s="278"/>
      <c r="I1300" s="278"/>
    </row>
    <row r="1317" spans="2:9" ht="18" customHeight="1">
      <c r="B1317" s="279"/>
      <c r="C1317" s="279"/>
      <c r="D1317" s="279"/>
      <c r="G1317" s="279"/>
      <c r="H1317" s="279"/>
      <c r="I1317" s="279"/>
    </row>
    <row r="1335" spans="2:9" ht="18" customHeight="1">
      <c r="B1335" s="279"/>
      <c r="C1335" s="279"/>
      <c r="D1335" s="279"/>
      <c r="G1335" s="279"/>
      <c r="H1335" s="279"/>
      <c r="I1335" s="279"/>
    </row>
  </sheetData>
  <mergeCells count="392">
    <mergeCell ref="A362:I362"/>
    <mergeCell ref="B379:D379"/>
    <mergeCell ref="G379:I379"/>
    <mergeCell ref="A323:I323"/>
    <mergeCell ref="B340:D340"/>
    <mergeCell ref="G340:I340"/>
    <mergeCell ref="B358:D358"/>
    <mergeCell ref="G358:I358"/>
    <mergeCell ref="A363:I363"/>
    <mergeCell ref="B360:D360"/>
    <mergeCell ref="G360:I360"/>
    <mergeCell ref="A365:I365"/>
    <mergeCell ref="B357:D357"/>
    <mergeCell ref="G357:I357"/>
    <mergeCell ref="B342:D342"/>
    <mergeCell ref="G373:I373"/>
    <mergeCell ref="A375:I375"/>
    <mergeCell ref="B373:D373"/>
    <mergeCell ref="B355:D355"/>
    <mergeCell ref="G355:I355"/>
    <mergeCell ref="A325:I325"/>
    <mergeCell ref="G342:I342"/>
    <mergeCell ref="A338:I338"/>
    <mergeCell ref="B339:D339"/>
    <mergeCell ref="G259:I259"/>
    <mergeCell ref="B188:D188"/>
    <mergeCell ref="G188:I188"/>
    <mergeCell ref="B219:D219"/>
    <mergeCell ref="G219:I219"/>
    <mergeCell ref="B237:D237"/>
    <mergeCell ref="G237:I237"/>
    <mergeCell ref="B244:D244"/>
    <mergeCell ref="G244:I244"/>
    <mergeCell ref="A243:I243"/>
    <mergeCell ref="B225:D225"/>
    <mergeCell ref="G225:I225"/>
    <mergeCell ref="A227:I227"/>
    <mergeCell ref="B240:D240"/>
    <mergeCell ref="G240:I240"/>
    <mergeCell ref="A245:I245"/>
    <mergeCell ref="A153:I153"/>
    <mergeCell ref="A43:I43"/>
    <mergeCell ref="B60:D60"/>
    <mergeCell ref="G60:I60"/>
    <mergeCell ref="B78:D78"/>
    <mergeCell ref="A83:I83"/>
    <mergeCell ref="B77:D77"/>
    <mergeCell ref="G77:I77"/>
    <mergeCell ref="A79:I79"/>
    <mergeCell ref="A82:I82"/>
    <mergeCell ref="B62:D62"/>
    <mergeCell ref="G62:I62"/>
    <mergeCell ref="B80:D80"/>
    <mergeCell ref="G80:I80"/>
    <mergeCell ref="A85:I85"/>
    <mergeCell ref="B102:D102"/>
    <mergeCell ref="G102:I102"/>
    <mergeCell ref="B120:D120"/>
    <mergeCell ref="G120:I120"/>
    <mergeCell ref="B96:D96"/>
    <mergeCell ref="G96:I96"/>
    <mergeCell ref="B114:D114"/>
    <mergeCell ref="G114:I114"/>
    <mergeCell ref="A116:I116"/>
    <mergeCell ref="A3:I3"/>
    <mergeCell ref="B20:D20"/>
    <mergeCell ref="G20:I20"/>
    <mergeCell ref="B38:D38"/>
    <mergeCell ref="G38:I38"/>
    <mergeCell ref="A42:I42"/>
    <mergeCell ref="B59:D59"/>
    <mergeCell ref="A5:I5"/>
    <mergeCell ref="B22:D22"/>
    <mergeCell ref="G22:I22"/>
    <mergeCell ref="B40:D40"/>
    <mergeCell ref="G40:I40"/>
    <mergeCell ref="G59:I59"/>
    <mergeCell ref="A45:I45"/>
    <mergeCell ref="B157:D157"/>
    <mergeCell ref="G157:I157"/>
    <mergeCell ref="G200:I200"/>
    <mergeCell ref="A190:I190"/>
    <mergeCell ref="B158:D158"/>
    <mergeCell ref="G158:I158"/>
    <mergeCell ref="A163:I163"/>
    <mergeCell ref="B180:D180"/>
    <mergeCell ref="G180:I180"/>
    <mergeCell ref="B182:D182"/>
    <mergeCell ref="G182:I182"/>
    <mergeCell ref="B200:D200"/>
    <mergeCell ref="A165:I165"/>
    <mergeCell ref="A162:I162"/>
    <mergeCell ref="B179:D179"/>
    <mergeCell ref="G179:I179"/>
    <mergeCell ref="B160:D160"/>
    <mergeCell ref="G160:I160"/>
    <mergeCell ref="B197:D197"/>
    <mergeCell ref="G197:I197"/>
    <mergeCell ref="B198:D198"/>
    <mergeCell ref="G198:I198"/>
    <mergeCell ref="B170:D170"/>
    <mergeCell ref="G170:I170"/>
    <mergeCell ref="A483:I483"/>
    <mergeCell ref="B500:D500"/>
    <mergeCell ref="B440:D440"/>
    <mergeCell ref="G440:I440"/>
    <mergeCell ref="A445:I445"/>
    <mergeCell ref="A202:I202"/>
    <mergeCell ref="A203:I203"/>
    <mergeCell ref="B220:D220"/>
    <mergeCell ref="G220:I220"/>
    <mergeCell ref="B238:D238"/>
    <mergeCell ref="G238:I238"/>
    <mergeCell ref="A205:I205"/>
    <mergeCell ref="B222:D222"/>
    <mergeCell ref="G222:I222"/>
    <mergeCell ref="B207:D207"/>
    <mergeCell ref="G207:I207"/>
    <mergeCell ref="A242:I242"/>
    <mergeCell ref="G339:I339"/>
    <mergeCell ref="B260:D260"/>
    <mergeCell ref="B262:D262"/>
    <mergeCell ref="G262:I262"/>
    <mergeCell ref="B280:D280"/>
    <mergeCell ref="G280:I280"/>
    <mergeCell ref="B259:D259"/>
    <mergeCell ref="B688:D688"/>
    <mergeCell ref="G688:I688"/>
    <mergeCell ref="B706:D706"/>
    <mergeCell ref="G706:I706"/>
    <mergeCell ref="A708:I708"/>
    <mergeCell ref="G520:I520"/>
    <mergeCell ref="A525:I525"/>
    <mergeCell ref="B380:D380"/>
    <mergeCell ref="G380:I380"/>
    <mergeCell ref="B398:D398"/>
    <mergeCell ref="G398:I398"/>
    <mergeCell ref="A403:I403"/>
    <mergeCell ref="B382:D382"/>
    <mergeCell ref="G382:I382"/>
    <mergeCell ref="B400:D400"/>
    <mergeCell ref="G400:I400"/>
    <mergeCell ref="A402:I402"/>
    <mergeCell ref="B419:D419"/>
    <mergeCell ref="G419:I419"/>
    <mergeCell ref="B437:D437"/>
    <mergeCell ref="G437:I437"/>
    <mergeCell ref="A443:I443"/>
    <mergeCell ref="B478:D478"/>
    <mergeCell ref="G478:I478"/>
    <mergeCell ref="B798:D798"/>
    <mergeCell ref="G798:I798"/>
    <mergeCell ref="A803:I803"/>
    <mergeCell ref="B820:D820"/>
    <mergeCell ref="G820:I820"/>
    <mergeCell ref="B740:D740"/>
    <mergeCell ref="G740:I740"/>
    <mergeCell ref="A763:I763"/>
    <mergeCell ref="B780:D780"/>
    <mergeCell ref="G780:I780"/>
    <mergeCell ref="A782:I782"/>
    <mergeCell ref="B799:D799"/>
    <mergeCell ref="G799:I799"/>
    <mergeCell ref="B817:D817"/>
    <mergeCell ref="G817:I817"/>
    <mergeCell ref="A819:I819"/>
    <mergeCell ref="B762:D762"/>
    <mergeCell ref="G762:I762"/>
    <mergeCell ref="B743:D743"/>
    <mergeCell ref="G743:I743"/>
    <mergeCell ref="A745:I745"/>
    <mergeCell ref="B99:D99"/>
    <mergeCell ref="A563:I563"/>
    <mergeCell ref="B580:D580"/>
    <mergeCell ref="G580:I580"/>
    <mergeCell ref="B638:D638"/>
    <mergeCell ref="B662:D662"/>
    <mergeCell ref="G662:I662"/>
    <mergeCell ref="A605:I605"/>
    <mergeCell ref="B622:D622"/>
    <mergeCell ref="B595:D595"/>
    <mergeCell ref="G595:I595"/>
    <mergeCell ref="A597:I597"/>
    <mergeCell ref="B598:D598"/>
    <mergeCell ref="G598:I598"/>
    <mergeCell ref="B582:D582"/>
    <mergeCell ref="G582:I582"/>
    <mergeCell ref="G622:I622"/>
    <mergeCell ref="B614:D614"/>
    <mergeCell ref="G614:I614"/>
    <mergeCell ref="B632:D632"/>
    <mergeCell ref="G632:I632"/>
    <mergeCell ref="B620:D620"/>
    <mergeCell ref="G620:I620"/>
    <mergeCell ref="A603:I603"/>
    <mergeCell ref="B651:D651"/>
    <mergeCell ref="B462:D462"/>
    <mergeCell ref="G462:I462"/>
    <mergeCell ref="A565:I565"/>
    <mergeCell ref="A643:I643"/>
    <mergeCell ref="B517:D517"/>
    <mergeCell ref="G517:I517"/>
    <mergeCell ref="A442:I442"/>
    <mergeCell ref="B459:D459"/>
    <mergeCell ref="B542:D542"/>
    <mergeCell ref="B447:D447"/>
    <mergeCell ref="G447:I447"/>
    <mergeCell ref="A449:I449"/>
    <mergeCell ref="B466:D466"/>
    <mergeCell ref="A634:I634"/>
    <mergeCell ref="B518:D518"/>
    <mergeCell ref="G518:I518"/>
    <mergeCell ref="A523:I523"/>
    <mergeCell ref="B600:D600"/>
    <mergeCell ref="G600:I600"/>
    <mergeCell ref="B460:D460"/>
    <mergeCell ref="G460:I460"/>
    <mergeCell ref="G459:I459"/>
    <mergeCell ref="A482:I482"/>
    <mergeCell ref="B499:D499"/>
    <mergeCell ref="B133:D133"/>
    <mergeCell ref="G133:I133"/>
    <mergeCell ref="B151:D151"/>
    <mergeCell ref="G151:I151"/>
    <mergeCell ref="B140:D140"/>
    <mergeCell ref="G140:I140"/>
    <mergeCell ref="G99:I99"/>
    <mergeCell ref="B117:D117"/>
    <mergeCell ref="G117:I117"/>
    <mergeCell ref="A122:I122"/>
    <mergeCell ref="B139:D139"/>
    <mergeCell ref="G139:I139"/>
    <mergeCell ref="B100:D100"/>
    <mergeCell ref="G100:I100"/>
    <mergeCell ref="A123:I123"/>
    <mergeCell ref="A125:I125"/>
    <mergeCell ref="B142:D142"/>
    <mergeCell ref="G142:I142"/>
    <mergeCell ref="B317:D317"/>
    <mergeCell ref="G317:I317"/>
    <mergeCell ref="A285:I285"/>
    <mergeCell ref="B302:D302"/>
    <mergeCell ref="A264:I264"/>
    <mergeCell ref="B281:D281"/>
    <mergeCell ref="G281:I281"/>
    <mergeCell ref="A301:I301"/>
    <mergeCell ref="B336:D336"/>
    <mergeCell ref="G336:I336"/>
    <mergeCell ref="G302:I302"/>
    <mergeCell ref="B277:D277"/>
    <mergeCell ref="A282:I282"/>
    <mergeCell ref="B299:D299"/>
    <mergeCell ref="G299:I299"/>
    <mergeCell ref="A283:I283"/>
    <mergeCell ref="B300:D300"/>
    <mergeCell ref="G300:I300"/>
    <mergeCell ref="B318:D318"/>
    <mergeCell ref="E316:G316"/>
    <mergeCell ref="B320:D320"/>
    <mergeCell ref="G320:I320"/>
    <mergeCell ref="G318:I318"/>
    <mergeCell ref="A322:I322"/>
    <mergeCell ref="B392:D392"/>
    <mergeCell ref="G392:I392"/>
    <mergeCell ref="B410:D410"/>
    <mergeCell ref="G410:I410"/>
    <mergeCell ref="A412:I412"/>
    <mergeCell ref="B429:D429"/>
    <mergeCell ref="G429:I429"/>
    <mergeCell ref="B420:D420"/>
    <mergeCell ref="G420:I420"/>
    <mergeCell ref="A405:I405"/>
    <mergeCell ref="B422:D422"/>
    <mergeCell ref="G422:I422"/>
    <mergeCell ref="G499:I499"/>
    <mergeCell ref="B521:D521"/>
    <mergeCell ref="G521:I521"/>
    <mergeCell ref="G558:I558"/>
    <mergeCell ref="A560:I560"/>
    <mergeCell ref="B577:D577"/>
    <mergeCell ref="G577:I577"/>
    <mergeCell ref="G466:I466"/>
    <mergeCell ref="B484:D484"/>
    <mergeCell ref="G484:I484"/>
    <mergeCell ref="A486:I486"/>
    <mergeCell ref="B503:D503"/>
    <mergeCell ref="G503:I503"/>
    <mergeCell ref="G500:I500"/>
    <mergeCell ref="B480:D480"/>
    <mergeCell ref="G480:I480"/>
    <mergeCell ref="A485:I485"/>
    <mergeCell ref="B502:D502"/>
    <mergeCell ref="G502:I502"/>
    <mergeCell ref="B540:D540"/>
    <mergeCell ref="B520:D520"/>
    <mergeCell ref="G540:I540"/>
    <mergeCell ref="G542:I542"/>
    <mergeCell ref="B558:D558"/>
    <mergeCell ref="B725:D725"/>
    <mergeCell ref="G725:I725"/>
    <mergeCell ref="A685:I685"/>
    <mergeCell ref="B702:D702"/>
    <mergeCell ref="G702:I702"/>
    <mergeCell ref="G638:I638"/>
    <mergeCell ref="B640:D640"/>
    <mergeCell ref="G640:I640"/>
    <mergeCell ref="A645:I645"/>
    <mergeCell ref="G680:I680"/>
    <mergeCell ref="A671:I671"/>
    <mergeCell ref="B669:D669"/>
    <mergeCell ref="G669:I669"/>
    <mergeCell ref="B660:D660"/>
    <mergeCell ref="G651:I651"/>
    <mergeCell ref="B700:D700"/>
    <mergeCell ref="G700:I700"/>
    <mergeCell ref="B718:D718"/>
    <mergeCell ref="G718:I718"/>
    <mergeCell ref="G660:I660"/>
    <mergeCell ref="A723:I723"/>
    <mergeCell ref="B678:D678"/>
    <mergeCell ref="A683:I683"/>
    <mergeCell ref="B680:D680"/>
    <mergeCell ref="B836:D836"/>
    <mergeCell ref="G836:I836"/>
    <mergeCell ref="B854:D854"/>
    <mergeCell ref="G854:I854"/>
    <mergeCell ref="B838:D838"/>
    <mergeCell ref="A856:I856"/>
    <mergeCell ref="B873:D873"/>
    <mergeCell ref="G873:I873"/>
    <mergeCell ref="B891:D891"/>
    <mergeCell ref="G891:I891"/>
    <mergeCell ref="A893:I893"/>
    <mergeCell ref="B910:D910"/>
    <mergeCell ref="G910:I910"/>
    <mergeCell ref="B928:D928"/>
    <mergeCell ref="G928:I928"/>
    <mergeCell ref="A930:I930"/>
    <mergeCell ref="B947:D947"/>
    <mergeCell ref="G947:I947"/>
    <mergeCell ref="B965:D965"/>
    <mergeCell ref="G965:I965"/>
    <mergeCell ref="A967:I967"/>
    <mergeCell ref="B984:D984"/>
    <mergeCell ref="G984:I984"/>
    <mergeCell ref="B1002:D1002"/>
    <mergeCell ref="G1002:I1002"/>
    <mergeCell ref="A1004:I1004"/>
    <mergeCell ref="B1021:D1021"/>
    <mergeCell ref="G1021:I1021"/>
    <mergeCell ref="B1039:D1039"/>
    <mergeCell ref="G1039:I1039"/>
    <mergeCell ref="A1041:I1041"/>
    <mergeCell ref="B1058:D1058"/>
    <mergeCell ref="G1058:I1058"/>
    <mergeCell ref="B1076:D1076"/>
    <mergeCell ref="G1076:I1076"/>
    <mergeCell ref="A1078:I1078"/>
    <mergeCell ref="B1095:D1095"/>
    <mergeCell ref="G1095:I1095"/>
    <mergeCell ref="B1113:D1113"/>
    <mergeCell ref="G1113:I1113"/>
    <mergeCell ref="A1115:I1115"/>
    <mergeCell ref="B1132:D1132"/>
    <mergeCell ref="G1132:I1132"/>
    <mergeCell ref="B1150:D1150"/>
    <mergeCell ref="G1150:I1150"/>
    <mergeCell ref="A1152:I1152"/>
    <mergeCell ref="B1169:D1169"/>
    <mergeCell ref="G1169:I1169"/>
    <mergeCell ref="B1187:D1187"/>
    <mergeCell ref="G1187:I1187"/>
    <mergeCell ref="A1189:I1189"/>
    <mergeCell ref="B1206:D1206"/>
    <mergeCell ref="G1206:I1206"/>
    <mergeCell ref="B1224:D1224"/>
    <mergeCell ref="G1224:I1224"/>
    <mergeCell ref="A1300:I1300"/>
    <mergeCell ref="B1317:D1317"/>
    <mergeCell ref="G1317:I1317"/>
    <mergeCell ref="B1335:D1335"/>
    <mergeCell ref="G1335:I1335"/>
    <mergeCell ref="A1226:I1226"/>
    <mergeCell ref="B1243:D1243"/>
    <mergeCell ref="G1243:I1243"/>
    <mergeCell ref="B1261:D1261"/>
    <mergeCell ref="G1261:I1261"/>
    <mergeCell ref="A1263:I1263"/>
    <mergeCell ref="B1280:D1280"/>
    <mergeCell ref="G1280:I1280"/>
    <mergeCell ref="B1298:D1298"/>
    <mergeCell ref="G1298:I1298"/>
  </mergeCells>
  <printOptions horizontalCentered="1"/>
  <pageMargins left="0.5" right="0.5" top="0.5" bottom="0.5" header="0.3" footer="0.3"/>
  <pageSetup paperSize="9" fitToWidth="0" fitToHeight="0" orientation="portrait" r:id="rId1"/>
  <headerFooter>
    <oddFooter>&amp;C&amp;"Arial,Regular"&amp;8&amp;P</oddFooter>
  </headerFooter>
  <rowBreaks count="10" manualBreakCount="10">
    <brk id="41" max="8" man="1"/>
    <brk id="78" max="8" man="1"/>
    <brk id="115" max="8" man="1"/>
    <brk id="152" max="8" man="1"/>
    <brk id="189" max="8" man="1"/>
    <brk id="226" max="8" man="1"/>
    <brk id="263" max="8" man="1"/>
    <brk id="300" max="8" man="1"/>
    <brk id="337" max="8" man="1"/>
    <brk id="374" max="16383"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35B65-BB35-441D-ACFB-4BEF8F08270C}">
  <sheetPr codeName="Sheet13"/>
  <dimension ref="A1:D30"/>
  <sheetViews>
    <sheetView tabSelected="1" view="pageBreakPreview" topLeftCell="A7" zoomScaleNormal="100" zoomScaleSheetLayoutView="100" workbookViewId="0">
      <selection activeCell="P17" sqref="P17"/>
    </sheetView>
  </sheetViews>
  <sheetFormatPr defaultColWidth="9.1796875" defaultRowHeight="15"/>
  <cols>
    <col min="1" max="1" width="6.1796875" style="2" customWidth="1"/>
    <col min="2" max="3" width="33.453125" style="2" customWidth="1"/>
    <col min="4" max="4" width="1.54296875" style="2" customWidth="1"/>
    <col min="5" max="16384" width="9.1796875" style="2"/>
  </cols>
  <sheetData>
    <row r="1" spans="1:4" ht="15.6" thickBot="1"/>
    <row r="2" spans="1:4" ht="15.6" thickTop="1">
      <c r="A2" s="175"/>
      <c r="B2" s="175"/>
      <c r="C2" s="175"/>
      <c r="D2" s="175"/>
    </row>
    <row r="3" spans="1:4" ht="22.8">
      <c r="A3" s="12" t="s">
        <v>336</v>
      </c>
      <c r="B3" s="176"/>
      <c r="C3" s="176"/>
      <c r="D3" s="176"/>
    </row>
    <row r="4" spans="1:4">
      <c r="A4" s="176"/>
      <c r="B4" s="176"/>
      <c r="C4" s="176"/>
      <c r="D4" s="176"/>
    </row>
    <row r="5" spans="1:4" ht="30.6" customHeight="1">
      <c r="A5" s="179" t="s">
        <v>126</v>
      </c>
      <c r="B5" s="179" t="s">
        <v>94</v>
      </c>
      <c r="C5" s="179" t="s">
        <v>339</v>
      </c>
      <c r="D5" s="176"/>
    </row>
    <row r="6" spans="1:4" ht="33" customHeight="1">
      <c r="A6" s="282" t="s">
        <v>337</v>
      </c>
      <c r="B6" s="282"/>
      <c r="C6" s="282"/>
    </row>
    <row r="7" spans="1:4" ht="46.8" customHeight="1">
      <c r="A7" s="177">
        <v>1</v>
      </c>
      <c r="B7" s="178" t="s">
        <v>340</v>
      </c>
      <c r="C7" s="178" t="s">
        <v>338</v>
      </c>
    </row>
    <row r="8" spans="1:4" ht="46.8" customHeight="1">
      <c r="A8" s="177">
        <v>2</v>
      </c>
      <c r="B8" s="178" t="s">
        <v>341</v>
      </c>
      <c r="C8" s="178" t="s">
        <v>342</v>
      </c>
    </row>
    <row r="9" spans="1:4" ht="46.8" customHeight="1">
      <c r="A9" s="177">
        <v>3</v>
      </c>
      <c r="B9" s="178" t="s">
        <v>343</v>
      </c>
      <c r="C9" s="178" t="s">
        <v>344</v>
      </c>
    </row>
    <row r="10" spans="1:4" ht="46.8" customHeight="1">
      <c r="A10" s="177">
        <v>4</v>
      </c>
      <c r="B10" s="178" t="s">
        <v>345</v>
      </c>
      <c r="C10" s="178" t="s">
        <v>346</v>
      </c>
    </row>
    <row r="11" spans="1:4" ht="46.8" customHeight="1">
      <c r="A11" s="177">
        <v>5</v>
      </c>
      <c r="B11" s="178" t="s">
        <v>347</v>
      </c>
      <c r="C11" s="178" t="s">
        <v>348</v>
      </c>
    </row>
    <row r="12" spans="1:4" ht="46.8" customHeight="1">
      <c r="A12" s="177">
        <v>6</v>
      </c>
      <c r="B12" s="178" t="s">
        <v>349</v>
      </c>
      <c r="C12" s="178" t="s">
        <v>350</v>
      </c>
    </row>
    <row r="13" spans="1:4" ht="46.8" customHeight="1">
      <c r="A13" s="177">
        <v>7</v>
      </c>
      <c r="B13" s="178" t="s">
        <v>351</v>
      </c>
      <c r="C13" s="178" t="s">
        <v>352</v>
      </c>
    </row>
    <row r="14" spans="1:4" ht="46.8" customHeight="1">
      <c r="A14" s="177">
        <v>8</v>
      </c>
      <c r="B14" s="178" t="s">
        <v>353</v>
      </c>
      <c r="C14" s="178" t="s">
        <v>354</v>
      </c>
    </row>
    <row r="15" spans="1:4" ht="34.799999999999997" customHeight="1">
      <c r="A15" s="282" t="s">
        <v>355</v>
      </c>
      <c r="B15" s="282"/>
      <c r="C15" s="282"/>
    </row>
    <row r="16" spans="1:4" ht="43.8" customHeight="1">
      <c r="A16" s="177">
        <v>9</v>
      </c>
      <c r="B16" s="178" t="s">
        <v>356</v>
      </c>
      <c r="C16" s="178" t="s">
        <v>357</v>
      </c>
    </row>
    <row r="17" spans="1:3" ht="36" customHeight="1">
      <c r="A17" s="177">
        <v>10</v>
      </c>
      <c r="B17" s="178" t="s">
        <v>97</v>
      </c>
      <c r="C17" s="178" t="s">
        <v>358</v>
      </c>
    </row>
    <row r="18" spans="1:3" ht="49.8" customHeight="1">
      <c r="A18" s="177">
        <v>11</v>
      </c>
      <c r="B18" s="178" t="s">
        <v>359</v>
      </c>
      <c r="C18" s="178" t="s">
        <v>360</v>
      </c>
    </row>
    <row r="19" spans="1:3" ht="51" customHeight="1">
      <c r="A19" s="177">
        <v>12</v>
      </c>
      <c r="B19" s="178" t="s">
        <v>96</v>
      </c>
      <c r="C19" s="178" t="s">
        <v>361</v>
      </c>
    </row>
    <row r="20" spans="1:3" ht="37.200000000000003" customHeight="1">
      <c r="A20" s="177">
        <v>13</v>
      </c>
      <c r="B20" s="178" t="s">
        <v>362</v>
      </c>
      <c r="C20" s="178" t="s">
        <v>363</v>
      </c>
    </row>
    <row r="21" spans="1:3" ht="37.200000000000003" customHeight="1">
      <c r="A21" s="177">
        <v>14</v>
      </c>
      <c r="B21" s="178" t="s">
        <v>364</v>
      </c>
      <c r="C21" s="178" t="s">
        <v>365</v>
      </c>
    </row>
    <row r="22" spans="1:3" ht="37.200000000000003" customHeight="1">
      <c r="A22" s="177">
        <v>15</v>
      </c>
      <c r="B22" s="178" t="s">
        <v>95</v>
      </c>
      <c r="C22" s="178" t="s">
        <v>366</v>
      </c>
    </row>
    <row r="23" spans="1:3" ht="28.8" customHeight="1">
      <c r="A23" s="282" t="s">
        <v>367</v>
      </c>
      <c r="B23" s="282"/>
      <c r="C23" s="282"/>
    </row>
    <row r="24" spans="1:3" ht="48.6" customHeight="1">
      <c r="A24" s="177">
        <v>16</v>
      </c>
      <c r="B24" s="178" t="s">
        <v>368</v>
      </c>
      <c r="C24" s="178" t="s">
        <v>369</v>
      </c>
    </row>
    <row r="25" spans="1:3" ht="48.6" customHeight="1">
      <c r="A25" s="177">
        <v>17</v>
      </c>
      <c r="B25" s="178" t="s">
        <v>370</v>
      </c>
      <c r="C25" s="178" t="s">
        <v>371</v>
      </c>
    </row>
    <row r="26" spans="1:3" ht="28.8" customHeight="1">
      <c r="A26" s="282" t="s">
        <v>372</v>
      </c>
      <c r="B26" s="282"/>
      <c r="C26" s="282"/>
    </row>
    <row r="27" spans="1:3" ht="40.200000000000003" customHeight="1">
      <c r="A27" s="177">
        <v>18</v>
      </c>
      <c r="B27" s="178" t="s">
        <v>373</v>
      </c>
      <c r="C27" s="178" t="s">
        <v>374</v>
      </c>
    </row>
    <row r="28" spans="1:3" ht="40.200000000000003" customHeight="1">
      <c r="A28" s="177">
        <v>19</v>
      </c>
      <c r="B28" s="178" t="s">
        <v>375</v>
      </c>
      <c r="C28" s="178" t="s">
        <v>376</v>
      </c>
    </row>
    <row r="29" spans="1:3" ht="48.6" customHeight="1">
      <c r="A29" s="177">
        <v>20</v>
      </c>
      <c r="B29" s="178" t="s">
        <v>98</v>
      </c>
      <c r="C29" s="178" t="s">
        <v>377</v>
      </c>
    </row>
    <row r="30" spans="1:3" ht="40.200000000000003" customHeight="1">
      <c r="A30" s="177">
        <v>21</v>
      </c>
      <c r="B30" s="178" t="s">
        <v>379</v>
      </c>
      <c r="C30" s="178" t="s">
        <v>378</v>
      </c>
    </row>
  </sheetData>
  <mergeCells count="4">
    <mergeCell ref="A6:C6"/>
    <mergeCell ref="A15:C15"/>
    <mergeCell ref="A23:C23"/>
    <mergeCell ref="A26:C26"/>
  </mergeCells>
  <pageMargins left="0.7" right="0.7" top="0.75" bottom="0.75" header="0.3" footer="0.3"/>
  <pageSetup orientation="portrait" r:id="rId1"/>
  <headerFooter>
    <oddFooter>&amp;C&amp;"Arial,Regular"&amp;8&amp;P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39667-5227-4E1C-BAC1-1C572856BB26}">
  <sheetPr codeName="Sheet9"/>
  <dimension ref="A1"/>
  <sheetViews>
    <sheetView workbookViewId="0">
      <selection activeCell="M22" sqref="M22"/>
    </sheetView>
  </sheetViews>
  <sheetFormatPr defaultRowHeight="15"/>
  <sheetData>
    <row r="1" spans="1:1">
      <c r="A1" t="s">
        <v>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13</vt:i4>
      </vt:variant>
    </vt:vector>
  </HeadingPairs>
  <TitlesOfParts>
    <vt:vector size="31" baseType="lpstr">
      <vt:lpstr>DATA ENTRY 2</vt:lpstr>
      <vt:lpstr>Photo Folders</vt:lpstr>
      <vt:lpstr>DATA ENTRY</vt:lpstr>
      <vt:lpstr>cond formatg</vt:lpstr>
      <vt:lpstr>Cover</vt:lpstr>
      <vt:lpstr>SOURCE</vt:lpstr>
      <vt:lpstr>Contents</vt:lpstr>
      <vt:lpstr>1.0 INTRO</vt:lpstr>
      <vt:lpstr>MergeSize</vt:lpstr>
      <vt:lpstr>2.0 FINDINGS AND RECOMM</vt:lpstr>
      <vt:lpstr>3.0 CONCLUSIONS</vt:lpstr>
      <vt:lpstr>4.0 EXPERT DECLARATION</vt:lpstr>
      <vt:lpstr>FORMAT</vt:lpstr>
      <vt:lpstr>APPENDIX 1 SCOTT SCHEDULE</vt:lpstr>
      <vt:lpstr>JOINT SCOTT SCHEDULE (T)</vt:lpstr>
      <vt:lpstr>APPENDIX 2 - PHOTOGRAPH SCHEDUL</vt:lpstr>
      <vt:lpstr>APPENDIX 3 - HHSRS</vt:lpstr>
      <vt:lpstr>SOR Development</vt:lpstr>
      <vt:lpstr>'2.0 FINDINGS AND RECOMM'!_Toc216824965</vt:lpstr>
      <vt:lpstr>'1.0 INTRO'!Print_Area</vt:lpstr>
      <vt:lpstr>'2.0 FINDINGS AND RECOMM'!Print_Area</vt:lpstr>
      <vt:lpstr>'3.0 CONCLUSIONS'!Print_Area</vt:lpstr>
      <vt:lpstr>'4.0 EXPERT DECLARATION'!Print_Area</vt:lpstr>
      <vt:lpstr>'APPENDIX 1 SCOTT SCHEDULE'!Print_Area</vt:lpstr>
      <vt:lpstr>'APPENDIX 2 - PHOTOGRAPH SCHEDUL'!Print_Area</vt:lpstr>
      <vt:lpstr>'APPENDIX 3 - HHSRS'!Print_Area</vt:lpstr>
      <vt:lpstr>Contents!Print_Area</vt:lpstr>
      <vt:lpstr>Cover!Print_Area</vt:lpstr>
      <vt:lpstr>FORMAT!Print_Area</vt:lpstr>
      <vt:lpstr>'JOINT SCOTT SCHEDULE (T)'!Print_Area</vt:lpstr>
      <vt:lpstr>FORMAT!Print_Titles</vt:lpstr>
    </vt:vector>
  </TitlesOfParts>
  <Company>London Borough of Islington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Shahriar Hussain</dc:creator>
  <cp:lastModifiedBy>Shahriar Ibn Hussain</cp:lastModifiedBy>
  <cp:lastPrinted>2026-09-16T12:58:20Z</cp:lastPrinted>
  <dcterms:created xsi:type="dcterms:W3CDTF">2025-12-17T18:45:18Z</dcterms:created>
  <dcterms:modified xsi:type="dcterms:W3CDTF">2026-09-16T12:59:01Z</dcterms:modified>
</cp:coreProperties>
</file>